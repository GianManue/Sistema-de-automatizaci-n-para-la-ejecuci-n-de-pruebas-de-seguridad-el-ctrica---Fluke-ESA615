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documenttasks/documenttask1.xml" ContentType="application/vnd.ms-excel.documenttask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ian_\PycharmProjects\Automatizacion_ESA615\ArchivosGenerados\"/>
    </mc:Choice>
  </mc:AlternateContent>
  <xr:revisionPtr revIDLastSave="0" documentId="13_ncr:1_{EEB698DD-F8DF-4178-9B38-95DFA9FE52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forme" sheetId="1" r:id="rId1"/>
    <sheet name="Datos" sheetId="2" r:id="rId2"/>
    <sheet name="Patrones" sheetId="3" r:id="rId3"/>
    <sheet name="Clasificación" sheetId="4" r:id="rId4"/>
    <sheet name="Versiones" sheetId="5" r:id="rId5"/>
    <sheet name="DV-IDENTITY-0" sheetId="6" state="hidden" r:id="rId6"/>
  </sheets>
  <definedNames>
    <definedName name="BuiltIn_AutoFilter___3" localSheetId="4">#REF!</definedName>
  </definedNames>
  <calcPr calcId="191029"/>
</workbook>
</file>

<file path=xl/calcChain.xml><?xml version="1.0" encoding="utf-8"?>
<calcChain xmlns="http://schemas.openxmlformats.org/spreadsheetml/2006/main">
  <c r="C76" i="1" l="1"/>
  <c r="A25" i="6"/>
  <c r="A24" i="6"/>
  <c r="HD23" i="6"/>
  <c r="HC23" i="6"/>
  <c r="HB23" i="6"/>
  <c r="HA23" i="6"/>
  <c r="GS23" i="6"/>
  <c r="GR23" i="6"/>
  <c r="GQ23" i="6"/>
  <c r="GP23" i="6"/>
  <c r="GO23" i="6"/>
  <c r="GN23" i="6"/>
  <c r="GM23" i="6"/>
  <c r="GL23" i="6"/>
  <c r="GK23" i="6"/>
  <c r="GJ23" i="6"/>
  <c r="GI23" i="6"/>
  <c r="GH23" i="6"/>
  <c r="GG23" i="6"/>
  <c r="GF23" i="6"/>
  <c r="GE23" i="6"/>
  <c r="GD23" i="6"/>
  <c r="GC23" i="6"/>
  <c r="GB23" i="6"/>
  <c r="GA23" i="6"/>
  <c r="FZ23" i="6"/>
  <c r="FY23" i="6"/>
  <c r="FX23" i="6"/>
  <c r="FW23" i="6"/>
  <c r="FV23" i="6"/>
  <c r="FU23" i="6"/>
  <c r="FT23" i="6"/>
  <c r="FS23" i="6"/>
  <c r="FR23" i="6"/>
  <c r="FQ23" i="6"/>
  <c r="FP23" i="6"/>
  <c r="FO23" i="6"/>
  <c r="FN23" i="6"/>
  <c r="FM23" i="6"/>
  <c r="FL23" i="6"/>
  <c r="FK23" i="6"/>
  <c r="FJ23" i="6"/>
  <c r="FI23" i="6"/>
  <c r="FH23" i="6"/>
  <c r="FG23" i="6"/>
  <c r="FF23" i="6"/>
  <c r="FE23" i="6"/>
  <c r="FD23" i="6"/>
  <c r="FC23" i="6"/>
  <c r="FB23" i="6"/>
  <c r="FA23" i="6"/>
  <c r="EZ23" i="6"/>
  <c r="EY23" i="6"/>
  <c r="EX23" i="6"/>
  <c r="EW23" i="6"/>
  <c r="EV23" i="6"/>
  <c r="EU23" i="6"/>
  <c r="ET23" i="6"/>
  <c r="ES23" i="6"/>
  <c r="ER23" i="6"/>
  <c r="EQ23" i="6"/>
  <c r="EP23" i="6"/>
  <c r="EO23" i="6"/>
  <c r="EN23" i="6"/>
  <c r="EM23" i="6"/>
  <c r="EL23" i="6"/>
  <c r="EK23" i="6"/>
  <c r="EJ23" i="6"/>
  <c r="EI23" i="6"/>
  <c r="EH23" i="6"/>
  <c r="EG23" i="6"/>
  <c r="EF23" i="6"/>
  <c r="EE23" i="6"/>
  <c r="ED23" i="6"/>
  <c r="EC23" i="6"/>
  <c r="EB23" i="6"/>
  <c r="EA23" i="6"/>
  <c r="DZ23" i="6"/>
  <c r="DY23" i="6"/>
  <c r="DX23" i="6"/>
  <c r="DW23" i="6"/>
  <c r="DV23" i="6"/>
  <c r="DU23" i="6"/>
  <c r="DT23" i="6"/>
  <c r="DS23" i="6"/>
  <c r="DR23" i="6"/>
  <c r="DQ23" i="6"/>
  <c r="DP23" i="6"/>
  <c r="DO23" i="6"/>
  <c r="DN23" i="6"/>
  <c r="DM23" i="6"/>
  <c r="DL23" i="6"/>
  <c r="DK23" i="6"/>
  <c r="DJ23" i="6"/>
  <c r="DI23" i="6"/>
  <c r="DH23" i="6"/>
  <c r="DG23" i="6"/>
  <c r="DF23" i="6"/>
  <c r="DE23" i="6"/>
  <c r="DD23" i="6"/>
  <c r="DC23" i="6"/>
  <c r="DB23" i="6"/>
  <c r="DA23" i="6"/>
  <c r="CZ23" i="6"/>
  <c r="CY23" i="6"/>
  <c r="CX23" i="6"/>
  <c r="CW23" i="6"/>
  <c r="CV23" i="6"/>
  <c r="CU23" i="6"/>
  <c r="CT23" i="6"/>
  <c r="CS23" i="6"/>
  <c r="CR23" i="6"/>
  <c r="CQ23" i="6"/>
  <c r="CP23" i="6"/>
  <c r="CO23" i="6"/>
  <c r="CN23" i="6"/>
  <c r="CM23" i="6"/>
  <c r="CL23" i="6"/>
  <c r="CK23" i="6"/>
  <c r="CJ23" i="6"/>
  <c r="CI23" i="6"/>
  <c r="CH23" i="6"/>
  <c r="CG23" i="6"/>
  <c r="CF23" i="6"/>
  <c r="CE23" i="6"/>
  <c r="CD23" i="6"/>
  <c r="CC23" i="6"/>
  <c r="CB23" i="6"/>
  <c r="CA23" i="6"/>
  <c r="BZ23" i="6"/>
  <c r="BY23" i="6"/>
  <c r="BX23" i="6"/>
  <c r="BW23" i="6"/>
  <c r="BV23" i="6"/>
  <c r="BU23" i="6"/>
  <c r="BT23" i="6"/>
  <c r="BS23" i="6"/>
  <c r="BR23" i="6"/>
  <c r="BQ23" i="6"/>
  <c r="BP23" i="6"/>
  <c r="BO23" i="6"/>
  <c r="BN23" i="6"/>
  <c r="BM23" i="6"/>
  <c r="BL23" i="6"/>
  <c r="BK23" i="6"/>
  <c r="BJ23" i="6"/>
  <c r="BI23" i="6"/>
  <c r="BH23" i="6"/>
  <c r="BG23" i="6"/>
  <c r="BF23" i="6"/>
  <c r="BE23" i="6"/>
  <c r="BD23" i="6"/>
  <c r="BC23" i="6"/>
  <c r="BB23" i="6"/>
  <c r="BA23" i="6"/>
  <c r="AZ23" i="6"/>
  <c r="AY23" i="6"/>
  <c r="AX23" i="6"/>
  <c r="AW23" i="6"/>
  <c r="AV23" i="6"/>
  <c r="AU23" i="6"/>
  <c r="AT23" i="6"/>
  <c r="AS23" i="6"/>
  <c r="AR23" i="6"/>
  <c r="AQ23" i="6"/>
  <c r="AP23" i="6"/>
  <c r="AO23" i="6"/>
  <c r="AN23" i="6"/>
  <c r="AM23" i="6"/>
  <c r="AL23" i="6"/>
  <c r="AK23" i="6"/>
  <c r="AJ23" i="6"/>
  <c r="AI23" i="6"/>
  <c r="AH23" i="6"/>
  <c r="AG23" i="6"/>
  <c r="AF23" i="6"/>
  <c r="AE23" i="6"/>
  <c r="AD23" i="6"/>
  <c r="AC23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A23" i="6"/>
  <c r="IV22" i="6"/>
  <c r="IU22" i="6"/>
  <c r="IT22" i="6"/>
  <c r="IS22" i="6"/>
  <c r="IR22" i="6"/>
  <c r="IQ22" i="6"/>
  <c r="IP22" i="6"/>
  <c r="IO22" i="6"/>
  <c r="IN22" i="6"/>
  <c r="IM22" i="6"/>
  <c r="IL22" i="6"/>
  <c r="IK22" i="6"/>
  <c r="IJ22" i="6"/>
  <c r="II22" i="6"/>
  <c r="IH22" i="6"/>
  <c r="IG22" i="6"/>
  <c r="IF22" i="6"/>
  <c r="IE22" i="6"/>
  <c r="ID22" i="6"/>
  <c r="IC22" i="6"/>
  <c r="IB22" i="6"/>
  <c r="IA22" i="6"/>
  <c r="HZ22" i="6"/>
  <c r="HY22" i="6"/>
  <c r="HX22" i="6"/>
  <c r="HW22" i="6"/>
  <c r="HV22" i="6"/>
  <c r="HU22" i="6"/>
  <c r="HT22" i="6"/>
  <c r="HS22" i="6"/>
  <c r="HR22" i="6"/>
  <c r="HQ22" i="6"/>
  <c r="HP22" i="6"/>
  <c r="HO22" i="6"/>
  <c r="HN22" i="6"/>
  <c r="HM22" i="6"/>
  <c r="HL22" i="6"/>
  <c r="HK22" i="6"/>
  <c r="HJ22" i="6"/>
  <c r="HI22" i="6"/>
  <c r="HH22" i="6"/>
  <c r="HG22" i="6"/>
  <c r="HF22" i="6"/>
  <c r="HE22" i="6"/>
  <c r="HD22" i="6"/>
  <c r="HC22" i="6"/>
  <c r="HB22" i="6"/>
  <c r="HA22" i="6"/>
  <c r="GZ22" i="6"/>
  <c r="GY22" i="6"/>
  <c r="GX22" i="6"/>
  <c r="GW22" i="6"/>
  <c r="GV22" i="6"/>
  <c r="GU22" i="6"/>
  <c r="GT22" i="6"/>
  <c r="GS22" i="6"/>
  <c r="GR22" i="6"/>
  <c r="GQ22" i="6"/>
  <c r="GP22" i="6"/>
  <c r="GO22" i="6"/>
  <c r="GN22" i="6"/>
  <c r="GM22" i="6"/>
  <c r="GL22" i="6"/>
  <c r="GK22" i="6"/>
  <c r="GJ22" i="6"/>
  <c r="GI22" i="6"/>
  <c r="GH22" i="6"/>
  <c r="GG22" i="6"/>
  <c r="GF22" i="6"/>
  <c r="GE22" i="6"/>
  <c r="GD22" i="6"/>
  <c r="GC22" i="6"/>
  <c r="GB22" i="6"/>
  <c r="GA22" i="6"/>
  <c r="FZ22" i="6"/>
  <c r="FY22" i="6"/>
  <c r="FX22" i="6"/>
  <c r="FW22" i="6"/>
  <c r="FV22" i="6"/>
  <c r="FU22" i="6"/>
  <c r="FT22" i="6"/>
  <c r="FS22" i="6"/>
  <c r="FR22" i="6"/>
  <c r="FQ22" i="6"/>
  <c r="FP22" i="6"/>
  <c r="FO22" i="6"/>
  <c r="FN22" i="6"/>
  <c r="FM22" i="6"/>
  <c r="FL22" i="6"/>
  <c r="FK22" i="6"/>
  <c r="FJ22" i="6"/>
  <c r="FI22" i="6"/>
  <c r="FH22" i="6"/>
  <c r="FG22" i="6"/>
  <c r="FF22" i="6"/>
  <c r="FE22" i="6"/>
  <c r="FD22" i="6"/>
  <c r="FC22" i="6"/>
  <c r="FB22" i="6"/>
  <c r="FA22" i="6"/>
  <c r="EZ22" i="6"/>
  <c r="EY22" i="6"/>
  <c r="EX22" i="6"/>
  <c r="EW22" i="6"/>
  <c r="EV22" i="6"/>
  <c r="EU22" i="6"/>
  <c r="ET22" i="6"/>
  <c r="ES22" i="6"/>
  <c r="ER22" i="6"/>
  <c r="EQ22" i="6"/>
  <c r="EP22" i="6"/>
  <c r="EO22" i="6"/>
  <c r="EN22" i="6"/>
  <c r="EM22" i="6"/>
  <c r="EL22" i="6"/>
  <c r="EK22" i="6"/>
  <c r="EJ22" i="6"/>
  <c r="EI22" i="6"/>
  <c r="EH22" i="6"/>
  <c r="EG22" i="6"/>
  <c r="EF22" i="6"/>
  <c r="EE22" i="6"/>
  <c r="ED22" i="6"/>
  <c r="EC22" i="6"/>
  <c r="EB22" i="6"/>
  <c r="EA22" i="6"/>
  <c r="DZ22" i="6"/>
  <c r="DY22" i="6"/>
  <c r="DX22" i="6"/>
  <c r="DW22" i="6"/>
  <c r="DV22" i="6"/>
  <c r="DU22" i="6"/>
  <c r="DT22" i="6"/>
  <c r="DS22" i="6"/>
  <c r="DR22" i="6"/>
  <c r="DQ22" i="6"/>
  <c r="DP22" i="6"/>
  <c r="DO22" i="6"/>
  <c r="DN22" i="6"/>
  <c r="DM22" i="6"/>
  <c r="DL22" i="6"/>
  <c r="DK22" i="6"/>
  <c r="DJ22" i="6"/>
  <c r="DI22" i="6"/>
  <c r="DH22" i="6"/>
  <c r="DG22" i="6"/>
  <c r="DF22" i="6"/>
  <c r="DE22" i="6"/>
  <c r="DD22" i="6"/>
  <c r="DC22" i="6"/>
  <c r="DB22" i="6"/>
  <c r="DA22" i="6"/>
  <c r="CZ22" i="6"/>
  <c r="CY22" i="6"/>
  <c r="CX22" i="6"/>
  <c r="CW22" i="6"/>
  <c r="CV22" i="6"/>
  <c r="CU22" i="6"/>
  <c r="CT22" i="6"/>
  <c r="CS22" i="6"/>
  <c r="CR22" i="6"/>
  <c r="CQ22" i="6"/>
  <c r="CP22" i="6"/>
  <c r="CO22" i="6"/>
  <c r="CN22" i="6"/>
  <c r="CM22" i="6"/>
  <c r="CL22" i="6"/>
  <c r="CK22" i="6"/>
  <c r="CJ22" i="6"/>
  <c r="CI22" i="6"/>
  <c r="CH22" i="6"/>
  <c r="CG22" i="6"/>
  <c r="CF22" i="6"/>
  <c r="CE22" i="6"/>
  <c r="CD22" i="6"/>
  <c r="CC22" i="6"/>
  <c r="CB22" i="6"/>
  <c r="CA22" i="6"/>
  <c r="BZ22" i="6"/>
  <c r="BY22" i="6"/>
  <c r="BX22" i="6"/>
  <c r="BW22" i="6"/>
  <c r="BV22" i="6"/>
  <c r="BU22" i="6"/>
  <c r="BT22" i="6"/>
  <c r="BS22" i="6"/>
  <c r="BR22" i="6"/>
  <c r="BQ22" i="6"/>
  <c r="BP22" i="6"/>
  <c r="BO22" i="6"/>
  <c r="BN22" i="6"/>
  <c r="BM22" i="6"/>
  <c r="BL22" i="6"/>
  <c r="BK22" i="6"/>
  <c r="BJ22" i="6"/>
  <c r="BI22" i="6"/>
  <c r="BH22" i="6"/>
  <c r="BG22" i="6"/>
  <c r="BF22" i="6"/>
  <c r="BE22" i="6"/>
  <c r="BD22" i="6"/>
  <c r="BC22" i="6"/>
  <c r="BB22" i="6"/>
  <c r="BA22" i="6"/>
  <c r="AZ22" i="6"/>
  <c r="AY22" i="6"/>
  <c r="AX22" i="6"/>
  <c r="AW22" i="6"/>
  <c r="AV22" i="6"/>
  <c r="AU22" i="6"/>
  <c r="AT22" i="6"/>
  <c r="AS22" i="6"/>
  <c r="AR22" i="6"/>
  <c r="AQ22" i="6"/>
  <c r="AP22" i="6"/>
  <c r="AO22" i="6"/>
  <c r="AN22" i="6"/>
  <c r="AM22" i="6"/>
  <c r="AL22" i="6"/>
  <c r="AK22" i="6"/>
  <c r="AJ22" i="6"/>
  <c r="AI22" i="6"/>
  <c r="AH22" i="6"/>
  <c r="AG22" i="6"/>
  <c r="AF22" i="6"/>
  <c r="AE22" i="6"/>
  <c r="AD22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B22" i="6"/>
  <c r="A22" i="6"/>
  <c r="IV21" i="6"/>
  <c r="IU21" i="6"/>
  <c r="IT21" i="6"/>
  <c r="IS21" i="6"/>
  <c r="IR21" i="6"/>
  <c r="IQ21" i="6"/>
  <c r="IP21" i="6"/>
  <c r="IO21" i="6"/>
  <c r="IN21" i="6"/>
  <c r="IM21" i="6"/>
  <c r="IL21" i="6"/>
  <c r="IK21" i="6"/>
  <c r="IJ21" i="6"/>
  <c r="II21" i="6"/>
  <c r="IH21" i="6"/>
  <c r="IG21" i="6"/>
  <c r="IF21" i="6"/>
  <c r="IE21" i="6"/>
  <c r="ID21" i="6"/>
  <c r="IC21" i="6"/>
  <c r="IB21" i="6"/>
  <c r="IA21" i="6"/>
  <c r="HZ21" i="6"/>
  <c r="HY21" i="6"/>
  <c r="HX21" i="6"/>
  <c r="HW21" i="6"/>
  <c r="HV21" i="6"/>
  <c r="HU21" i="6"/>
  <c r="HT21" i="6"/>
  <c r="HS21" i="6"/>
  <c r="HR21" i="6"/>
  <c r="HQ21" i="6"/>
  <c r="HP21" i="6"/>
  <c r="HO21" i="6"/>
  <c r="HN21" i="6"/>
  <c r="HM21" i="6"/>
  <c r="HL21" i="6"/>
  <c r="HK21" i="6"/>
  <c r="HJ21" i="6"/>
  <c r="HI21" i="6"/>
  <c r="HH21" i="6"/>
  <c r="HG21" i="6"/>
  <c r="HF21" i="6"/>
  <c r="HE21" i="6"/>
  <c r="HD21" i="6"/>
  <c r="HC21" i="6"/>
  <c r="HB21" i="6"/>
  <c r="HA21" i="6"/>
  <c r="GZ21" i="6"/>
  <c r="GY21" i="6"/>
  <c r="GX21" i="6"/>
  <c r="GW21" i="6"/>
  <c r="GV21" i="6"/>
  <c r="GU21" i="6"/>
  <c r="GT21" i="6"/>
  <c r="GS21" i="6"/>
  <c r="GR21" i="6"/>
  <c r="GQ21" i="6"/>
  <c r="GP21" i="6"/>
  <c r="GO21" i="6"/>
  <c r="GN21" i="6"/>
  <c r="GM21" i="6"/>
  <c r="GL21" i="6"/>
  <c r="GK21" i="6"/>
  <c r="GJ21" i="6"/>
  <c r="GI21" i="6"/>
  <c r="GH21" i="6"/>
  <c r="GG21" i="6"/>
  <c r="GF21" i="6"/>
  <c r="GE21" i="6"/>
  <c r="GD21" i="6"/>
  <c r="GC21" i="6"/>
  <c r="GB21" i="6"/>
  <c r="GA21" i="6"/>
  <c r="FZ21" i="6"/>
  <c r="FY21" i="6"/>
  <c r="FX21" i="6"/>
  <c r="FW21" i="6"/>
  <c r="FV21" i="6"/>
  <c r="FU21" i="6"/>
  <c r="FT21" i="6"/>
  <c r="FS21" i="6"/>
  <c r="FR21" i="6"/>
  <c r="FQ21" i="6"/>
  <c r="FP21" i="6"/>
  <c r="FO21" i="6"/>
  <c r="FN21" i="6"/>
  <c r="FM21" i="6"/>
  <c r="FL21" i="6"/>
  <c r="FK21" i="6"/>
  <c r="FJ21" i="6"/>
  <c r="FI21" i="6"/>
  <c r="FH21" i="6"/>
  <c r="FG21" i="6"/>
  <c r="FF21" i="6"/>
  <c r="FE21" i="6"/>
  <c r="FD21" i="6"/>
  <c r="FC21" i="6"/>
  <c r="FB21" i="6"/>
  <c r="FA21" i="6"/>
  <c r="EZ21" i="6"/>
  <c r="EY21" i="6"/>
  <c r="EX21" i="6"/>
  <c r="EW21" i="6"/>
  <c r="EV21" i="6"/>
  <c r="EU21" i="6"/>
  <c r="ET21" i="6"/>
  <c r="ES21" i="6"/>
  <c r="ER21" i="6"/>
  <c r="EQ21" i="6"/>
  <c r="EP21" i="6"/>
  <c r="EO21" i="6"/>
  <c r="EN21" i="6"/>
  <c r="EM21" i="6"/>
  <c r="EL21" i="6"/>
  <c r="EK21" i="6"/>
  <c r="EJ21" i="6"/>
  <c r="EI21" i="6"/>
  <c r="EH21" i="6"/>
  <c r="EG21" i="6"/>
  <c r="EF21" i="6"/>
  <c r="EE21" i="6"/>
  <c r="ED21" i="6"/>
  <c r="EC21" i="6"/>
  <c r="EB21" i="6"/>
  <c r="EA21" i="6"/>
  <c r="DZ21" i="6"/>
  <c r="DY21" i="6"/>
  <c r="DX21" i="6"/>
  <c r="DW21" i="6"/>
  <c r="DV21" i="6"/>
  <c r="DU21" i="6"/>
  <c r="DT21" i="6"/>
  <c r="DS21" i="6"/>
  <c r="DR21" i="6"/>
  <c r="DQ21" i="6"/>
  <c r="DP21" i="6"/>
  <c r="DO21" i="6"/>
  <c r="DN21" i="6"/>
  <c r="DM21" i="6"/>
  <c r="DL21" i="6"/>
  <c r="DK21" i="6"/>
  <c r="DJ21" i="6"/>
  <c r="DI21" i="6"/>
  <c r="DH21" i="6"/>
  <c r="DG21" i="6"/>
  <c r="DF21" i="6"/>
  <c r="DE21" i="6"/>
  <c r="DD21" i="6"/>
  <c r="DC21" i="6"/>
  <c r="DB21" i="6"/>
  <c r="DA21" i="6"/>
  <c r="CZ21" i="6"/>
  <c r="CY21" i="6"/>
  <c r="CX21" i="6"/>
  <c r="CW21" i="6"/>
  <c r="CV21" i="6"/>
  <c r="CU21" i="6"/>
  <c r="CT21" i="6"/>
  <c r="CS21" i="6"/>
  <c r="CR21" i="6"/>
  <c r="CQ21" i="6"/>
  <c r="CP21" i="6"/>
  <c r="CO21" i="6"/>
  <c r="CN21" i="6"/>
  <c r="CM21" i="6"/>
  <c r="CL21" i="6"/>
  <c r="CK21" i="6"/>
  <c r="CJ21" i="6"/>
  <c r="CI21" i="6"/>
  <c r="CH21" i="6"/>
  <c r="CG21" i="6"/>
  <c r="CF21" i="6"/>
  <c r="CE21" i="6"/>
  <c r="CD21" i="6"/>
  <c r="CC21" i="6"/>
  <c r="CB21" i="6"/>
  <c r="CA21" i="6"/>
  <c r="BZ21" i="6"/>
  <c r="BY21" i="6"/>
  <c r="BX21" i="6"/>
  <c r="BW21" i="6"/>
  <c r="BV21" i="6"/>
  <c r="BU21" i="6"/>
  <c r="BT21" i="6"/>
  <c r="BS21" i="6"/>
  <c r="BR21" i="6"/>
  <c r="BQ21" i="6"/>
  <c r="BP21" i="6"/>
  <c r="BO21" i="6"/>
  <c r="BN21" i="6"/>
  <c r="BM21" i="6"/>
  <c r="BL21" i="6"/>
  <c r="BK21" i="6"/>
  <c r="BJ21" i="6"/>
  <c r="BI21" i="6"/>
  <c r="BH21" i="6"/>
  <c r="BG21" i="6"/>
  <c r="BF21" i="6"/>
  <c r="BE21" i="6"/>
  <c r="BD21" i="6"/>
  <c r="BC21" i="6"/>
  <c r="BB21" i="6"/>
  <c r="BA21" i="6"/>
  <c r="AZ21" i="6"/>
  <c r="AY21" i="6"/>
  <c r="AX21" i="6"/>
  <c r="AW21" i="6"/>
  <c r="AV21" i="6"/>
  <c r="AU21" i="6"/>
  <c r="AT21" i="6"/>
  <c r="AS21" i="6"/>
  <c r="AR21" i="6"/>
  <c r="AQ21" i="6"/>
  <c r="AP21" i="6"/>
  <c r="AO21" i="6"/>
  <c r="AN21" i="6"/>
  <c r="AM21" i="6"/>
  <c r="AL21" i="6"/>
  <c r="AK21" i="6"/>
  <c r="AJ21" i="6"/>
  <c r="AI21" i="6"/>
  <c r="AH21" i="6"/>
  <c r="AG21" i="6"/>
  <c r="AF21" i="6"/>
  <c r="AE21" i="6"/>
  <c r="AD21" i="6"/>
  <c r="AC21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B21" i="6"/>
  <c r="A21" i="6"/>
  <c r="IV20" i="6"/>
  <c r="IU20" i="6"/>
  <c r="IT20" i="6"/>
  <c r="IS20" i="6"/>
  <c r="IR20" i="6"/>
  <c r="IQ20" i="6"/>
  <c r="IP20" i="6"/>
  <c r="IO20" i="6"/>
  <c r="IN20" i="6"/>
  <c r="IM20" i="6"/>
  <c r="IL20" i="6"/>
  <c r="IK20" i="6"/>
  <c r="IJ20" i="6"/>
  <c r="II20" i="6"/>
  <c r="IH20" i="6"/>
  <c r="IG20" i="6"/>
  <c r="IF20" i="6"/>
  <c r="IE20" i="6"/>
  <c r="ID20" i="6"/>
  <c r="IC20" i="6"/>
  <c r="IB20" i="6"/>
  <c r="IA20" i="6"/>
  <c r="HZ20" i="6"/>
  <c r="HY20" i="6"/>
  <c r="HX20" i="6"/>
  <c r="HW20" i="6"/>
  <c r="HV20" i="6"/>
  <c r="HU20" i="6"/>
  <c r="HT20" i="6"/>
  <c r="HS20" i="6"/>
  <c r="HR20" i="6"/>
  <c r="HQ20" i="6"/>
  <c r="HP20" i="6"/>
  <c r="HO20" i="6"/>
  <c r="HN20" i="6"/>
  <c r="HM20" i="6"/>
  <c r="HL20" i="6"/>
  <c r="HK20" i="6"/>
  <c r="HJ20" i="6"/>
  <c r="HI20" i="6"/>
  <c r="HH20" i="6"/>
  <c r="HG20" i="6"/>
  <c r="HF20" i="6"/>
  <c r="HE20" i="6"/>
  <c r="HD20" i="6"/>
  <c r="HC20" i="6"/>
  <c r="HB20" i="6"/>
  <c r="HA20" i="6"/>
  <c r="GZ20" i="6"/>
  <c r="GY20" i="6"/>
  <c r="GX20" i="6"/>
  <c r="GW20" i="6"/>
  <c r="GV20" i="6"/>
  <c r="GU20" i="6"/>
  <c r="GT20" i="6"/>
  <c r="GS20" i="6"/>
  <c r="GR20" i="6"/>
  <c r="GQ20" i="6"/>
  <c r="GP20" i="6"/>
  <c r="GO20" i="6"/>
  <c r="GN20" i="6"/>
  <c r="GM20" i="6"/>
  <c r="GL20" i="6"/>
  <c r="GK20" i="6"/>
  <c r="GJ20" i="6"/>
  <c r="GI20" i="6"/>
  <c r="GH20" i="6"/>
  <c r="GG20" i="6"/>
  <c r="GF20" i="6"/>
  <c r="GE20" i="6"/>
  <c r="GD20" i="6"/>
  <c r="GC20" i="6"/>
  <c r="GB20" i="6"/>
  <c r="GA20" i="6"/>
  <c r="FZ20" i="6"/>
  <c r="FY20" i="6"/>
  <c r="FX20" i="6"/>
  <c r="FW20" i="6"/>
  <c r="FV20" i="6"/>
  <c r="FU20" i="6"/>
  <c r="FT20" i="6"/>
  <c r="FS20" i="6"/>
  <c r="FR20" i="6"/>
  <c r="FQ20" i="6"/>
  <c r="FP20" i="6"/>
  <c r="FO20" i="6"/>
  <c r="FN20" i="6"/>
  <c r="FM20" i="6"/>
  <c r="FL20" i="6"/>
  <c r="FK20" i="6"/>
  <c r="FJ20" i="6"/>
  <c r="FI20" i="6"/>
  <c r="FH20" i="6"/>
  <c r="FG20" i="6"/>
  <c r="FF20" i="6"/>
  <c r="FE20" i="6"/>
  <c r="FD20" i="6"/>
  <c r="FC20" i="6"/>
  <c r="FB20" i="6"/>
  <c r="FA20" i="6"/>
  <c r="EZ20" i="6"/>
  <c r="EY20" i="6"/>
  <c r="EX20" i="6"/>
  <c r="EW20" i="6"/>
  <c r="EV20" i="6"/>
  <c r="EU20" i="6"/>
  <c r="ET20" i="6"/>
  <c r="ES20" i="6"/>
  <c r="ER20" i="6"/>
  <c r="EQ20" i="6"/>
  <c r="EP20" i="6"/>
  <c r="EO20" i="6"/>
  <c r="EN20" i="6"/>
  <c r="EM20" i="6"/>
  <c r="EL20" i="6"/>
  <c r="EK20" i="6"/>
  <c r="EJ20" i="6"/>
  <c r="EI20" i="6"/>
  <c r="EH20" i="6"/>
  <c r="EG20" i="6"/>
  <c r="EF20" i="6"/>
  <c r="EE20" i="6"/>
  <c r="ED20" i="6"/>
  <c r="EC20" i="6"/>
  <c r="EB20" i="6"/>
  <c r="EA20" i="6"/>
  <c r="DZ20" i="6"/>
  <c r="DY20" i="6"/>
  <c r="DX20" i="6"/>
  <c r="DW20" i="6"/>
  <c r="DV20" i="6"/>
  <c r="DU20" i="6"/>
  <c r="DT20" i="6"/>
  <c r="DS20" i="6"/>
  <c r="DR20" i="6"/>
  <c r="DQ20" i="6"/>
  <c r="DP20" i="6"/>
  <c r="DO20" i="6"/>
  <c r="DN20" i="6"/>
  <c r="DM20" i="6"/>
  <c r="DL20" i="6"/>
  <c r="DK20" i="6"/>
  <c r="DJ20" i="6"/>
  <c r="DI20" i="6"/>
  <c r="DH20" i="6"/>
  <c r="DG20" i="6"/>
  <c r="DF20" i="6"/>
  <c r="DE20" i="6"/>
  <c r="DD20" i="6"/>
  <c r="DC20" i="6"/>
  <c r="DB20" i="6"/>
  <c r="DA20" i="6"/>
  <c r="CZ20" i="6"/>
  <c r="CY20" i="6"/>
  <c r="CX20" i="6"/>
  <c r="CW20" i="6"/>
  <c r="CV20" i="6"/>
  <c r="CU20" i="6"/>
  <c r="CT20" i="6"/>
  <c r="CS20" i="6"/>
  <c r="CR20" i="6"/>
  <c r="CQ20" i="6"/>
  <c r="CP20" i="6"/>
  <c r="CO20" i="6"/>
  <c r="CN20" i="6"/>
  <c r="CM20" i="6"/>
  <c r="CL20" i="6"/>
  <c r="CK20" i="6"/>
  <c r="CJ20" i="6"/>
  <c r="CI20" i="6"/>
  <c r="CH20" i="6"/>
  <c r="CG20" i="6"/>
  <c r="CF20" i="6"/>
  <c r="CE20" i="6"/>
  <c r="CD20" i="6"/>
  <c r="CC20" i="6"/>
  <c r="CB20" i="6"/>
  <c r="CA20" i="6"/>
  <c r="BZ20" i="6"/>
  <c r="BY20" i="6"/>
  <c r="BX20" i="6"/>
  <c r="BW20" i="6"/>
  <c r="BV20" i="6"/>
  <c r="BU20" i="6"/>
  <c r="BT20" i="6"/>
  <c r="BS20" i="6"/>
  <c r="BR20" i="6"/>
  <c r="BQ20" i="6"/>
  <c r="BP20" i="6"/>
  <c r="BO20" i="6"/>
  <c r="BN20" i="6"/>
  <c r="BM20" i="6"/>
  <c r="BL20" i="6"/>
  <c r="BK20" i="6"/>
  <c r="BJ20" i="6"/>
  <c r="BI20" i="6"/>
  <c r="BH20" i="6"/>
  <c r="BG20" i="6"/>
  <c r="BF20" i="6"/>
  <c r="BE20" i="6"/>
  <c r="BD20" i="6"/>
  <c r="BC20" i="6"/>
  <c r="BB20" i="6"/>
  <c r="BA20" i="6"/>
  <c r="AZ20" i="6"/>
  <c r="AY20" i="6"/>
  <c r="AX20" i="6"/>
  <c r="AW20" i="6"/>
  <c r="AV20" i="6"/>
  <c r="AU20" i="6"/>
  <c r="AT20" i="6"/>
  <c r="AS20" i="6"/>
  <c r="AR20" i="6"/>
  <c r="AQ20" i="6"/>
  <c r="AP20" i="6"/>
  <c r="AO20" i="6"/>
  <c r="AN20" i="6"/>
  <c r="AM20" i="6"/>
  <c r="AL20" i="6"/>
  <c r="AK20" i="6"/>
  <c r="AJ20" i="6"/>
  <c r="AI20" i="6"/>
  <c r="AH20" i="6"/>
  <c r="AG20" i="6"/>
  <c r="AF20" i="6"/>
  <c r="AE20" i="6"/>
  <c r="AD20" i="6"/>
  <c r="AC20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B20" i="6"/>
  <c r="A20" i="6"/>
  <c r="IV19" i="6"/>
  <c r="IU19" i="6"/>
  <c r="IT19" i="6"/>
  <c r="IS19" i="6"/>
  <c r="IR19" i="6"/>
  <c r="IQ19" i="6"/>
  <c r="IP19" i="6"/>
  <c r="IO19" i="6"/>
  <c r="IN19" i="6"/>
  <c r="IM19" i="6"/>
  <c r="IL19" i="6"/>
  <c r="IK19" i="6"/>
  <c r="IJ19" i="6"/>
  <c r="II19" i="6"/>
  <c r="IH19" i="6"/>
  <c r="IG19" i="6"/>
  <c r="IF19" i="6"/>
  <c r="IE19" i="6"/>
  <c r="ID19" i="6"/>
  <c r="IC19" i="6"/>
  <c r="IB19" i="6"/>
  <c r="IA19" i="6"/>
  <c r="HZ19" i="6"/>
  <c r="HY19" i="6"/>
  <c r="HX19" i="6"/>
  <c r="HW19" i="6"/>
  <c r="HV19" i="6"/>
  <c r="HU19" i="6"/>
  <c r="HT19" i="6"/>
  <c r="HS19" i="6"/>
  <c r="HR19" i="6"/>
  <c r="HQ19" i="6"/>
  <c r="HP19" i="6"/>
  <c r="HO19" i="6"/>
  <c r="HN19" i="6"/>
  <c r="HM19" i="6"/>
  <c r="HL19" i="6"/>
  <c r="HK19" i="6"/>
  <c r="HJ19" i="6"/>
  <c r="HI19" i="6"/>
  <c r="HH19" i="6"/>
  <c r="HG19" i="6"/>
  <c r="HF19" i="6"/>
  <c r="HE19" i="6"/>
  <c r="HD19" i="6"/>
  <c r="HC19" i="6"/>
  <c r="HB19" i="6"/>
  <c r="HA19" i="6"/>
  <c r="GZ19" i="6"/>
  <c r="GY19" i="6"/>
  <c r="GX19" i="6"/>
  <c r="GW19" i="6"/>
  <c r="GV19" i="6"/>
  <c r="GU19" i="6"/>
  <c r="GT19" i="6"/>
  <c r="GS19" i="6"/>
  <c r="GR19" i="6"/>
  <c r="GQ19" i="6"/>
  <c r="GP19" i="6"/>
  <c r="GO19" i="6"/>
  <c r="GN19" i="6"/>
  <c r="GM19" i="6"/>
  <c r="GL19" i="6"/>
  <c r="GK19" i="6"/>
  <c r="GJ19" i="6"/>
  <c r="GI19" i="6"/>
  <c r="GH19" i="6"/>
  <c r="GG19" i="6"/>
  <c r="GF19" i="6"/>
  <c r="GE19" i="6"/>
  <c r="GD19" i="6"/>
  <c r="GC19" i="6"/>
  <c r="GB19" i="6"/>
  <c r="GA19" i="6"/>
  <c r="FZ19" i="6"/>
  <c r="FY19" i="6"/>
  <c r="FX19" i="6"/>
  <c r="FW19" i="6"/>
  <c r="FV19" i="6"/>
  <c r="FU19" i="6"/>
  <c r="FT19" i="6"/>
  <c r="FS19" i="6"/>
  <c r="FR19" i="6"/>
  <c r="FQ19" i="6"/>
  <c r="FP19" i="6"/>
  <c r="FO19" i="6"/>
  <c r="FN19" i="6"/>
  <c r="FM19" i="6"/>
  <c r="FL19" i="6"/>
  <c r="FK19" i="6"/>
  <c r="FJ19" i="6"/>
  <c r="FI19" i="6"/>
  <c r="FH19" i="6"/>
  <c r="FG19" i="6"/>
  <c r="FF19" i="6"/>
  <c r="FE19" i="6"/>
  <c r="FD19" i="6"/>
  <c r="FC19" i="6"/>
  <c r="FB19" i="6"/>
  <c r="FA19" i="6"/>
  <c r="EZ19" i="6"/>
  <c r="EY19" i="6"/>
  <c r="EX19" i="6"/>
  <c r="EW19" i="6"/>
  <c r="EV19" i="6"/>
  <c r="EU19" i="6"/>
  <c r="ET19" i="6"/>
  <c r="ES19" i="6"/>
  <c r="ER19" i="6"/>
  <c r="EQ19" i="6"/>
  <c r="EP19" i="6"/>
  <c r="EO19" i="6"/>
  <c r="EN19" i="6"/>
  <c r="EM19" i="6"/>
  <c r="EL19" i="6"/>
  <c r="EK19" i="6"/>
  <c r="EJ19" i="6"/>
  <c r="EI19" i="6"/>
  <c r="EH19" i="6"/>
  <c r="EG19" i="6"/>
  <c r="EF19" i="6"/>
  <c r="EE19" i="6"/>
  <c r="ED19" i="6"/>
  <c r="EC19" i="6"/>
  <c r="EB19" i="6"/>
  <c r="EA19" i="6"/>
  <c r="DZ19" i="6"/>
  <c r="DY19" i="6"/>
  <c r="DX19" i="6"/>
  <c r="DW19" i="6"/>
  <c r="DV19" i="6"/>
  <c r="DU19" i="6"/>
  <c r="DT19" i="6"/>
  <c r="DS19" i="6"/>
  <c r="DR19" i="6"/>
  <c r="DQ19" i="6"/>
  <c r="DP19" i="6"/>
  <c r="DO19" i="6"/>
  <c r="DN19" i="6"/>
  <c r="DM19" i="6"/>
  <c r="DL19" i="6"/>
  <c r="DK19" i="6"/>
  <c r="DJ19" i="6"/>
  <c r="DI19" i="6"/>
  <c r="DH19" i="6"/>
  <c r="DG19" i="6"/>
  <c r="DF19" i="6"/>
  <c r="DE19" i="6"/>
  <c r="DD19" i="6"/>
  <c r="DC19" i="6"/>
  <c r="DB19" i="6"/>
  <c r="DA19" i="6"/>
  <c r="CZ19" i="6"/>
  <c r="CY19" i="6"/>
  <c r="CX19" i="6"/>
  <c r="CW19" i="6"/>
  <c r="CV19" i="6"/>
  <c r="CU19" i="6"/>
  <c r="CT19" i="6"/>
  <c r="CS19" i="6"/>
  <c r="CR19" i="6"/>
  <c r="CQ19" i="6"/>
  <c r="CP19" i="6"/>
  <c r="CO19" i="6"/>
  <c r="CN19" i="6"/>
  <c r="CM19" i="6"/>
  <c r="CL19" i="6"/>
  <c r="CK19" i="6"/>
  <c r="CJ19" i="6"/>
  <c r="CI19" i="6"/>
  <c r="CH19" i="6"/>
  <c r="CG19" i="6"/>
  <c r="CF19" i="6"/>
  <c r="CE19" i="6"/>
  <c r="CD19" i="6"/>
  <c r="CC19" i="6"/>
  <c r="CB19" i="6"/>
  <c r="CA19" i="6"/>
  <c r="BZ19" i="6"/>
  <c r="BY19" i="6"/>
  <c r="BX19" i="6"/>
  <c r="BW19" i="6"/>
  <c r="BV19" i="6"/>
  <c r="BU19" i="6"/>
  <c r="BT19" i="6"/>
  <c r="BS19" i="6"/>
  <c r="BR19" i="6"/>
  <c r="BQ19" i="6"/>
  <c r="BP19" i="6"/>
  <c r="BO19" i="6"/>
  <c r="BN19" i="6"/>
  <c r="BM19" i="6"/>
  <c r="BL19" i="6"/>
  <c r="BK19" i="6"/>
  <c r="BJ19" i="6"/>
  <c r="BI19" i="6"/>
  <c r="BH19" i="6"/>
  <c r="BG19" i="6"/>
  <c r="BF19" i="6"/>
  <c r="BE19" i="6"/>
  <c r="BD19" i="6"/>
  <c r="BC19" i="6"/>
  <c r="BB19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B19" i="6"/>
  <c r="A19" i="6"/>
  <c r="IV18" i="6"/>
  <c r="IU18" i="6"/>
  <c r="IT18" i="6"/>
  <c r="IS18" i="6"/>
  <c r="IR18" i="6"/>
  <c r="IQ18" i="6"/>
  <c r="IP18" i="6"/>
  <c r="IO18" i="6"/>
  <c r="IN18" i="6"/>
  <c r="IM18" i="6"/>
  <c r="IL18" i="6"/>
  <c r="IK18" i="6"/>
  <c r="IJ18" i="6"/>
  <c r="II18" i="6"/>
  <c r="IH18" i="6"/>
  <c r="IG18" i="6"/>
  <c r="IF18" i="6"/>
  <c r="IE18" i="6"/>
  <c r="ID18" i="6"/>
  <c r="IC18" i="6"/>
  <c r="IB18" i="6"/>
  <c r="IA18" i="6"/>
  <c r="HZ18" i="6"/>
  <c r="HY18" i="6"/>
  <c r="HX18" i="6"/>
  <c r="HW18" i="6"/>
  <c r="HV18" i="6"/>
  <c r="HU18" i="6"/>
  <c r="HT18" i="6"/>
  <c r="HS18" i="6"/>
  <c r="HR18" i="6"/>
  <c r="HQ18" i="6"/>
  <c r="HP18" i="6"/>
  <c r="HO18" i="6"/>
  <c r="HN18" i="6"/>
  <c r="HM18" i="6"/>
  <c r="HL18" i="6"/>
  <c r="HK18" i="6"/>
  <c r="HJ18" i="6"/>
  <c r="HI18" i="6"/>
  <c r="HH18" i="6"/>
  <c r="HG18" i="6"/>
  <c r="HF18" i="6"/>
  <c r="HE18" i="6"/>
  <c r="HD18" i="6"/>
  <c r="HC18" i="6"/>
  <c r="HB18" i="6"/>
  <c r="HA18" i="6"/>
  <c r="GZ18" i="6"/>
  <c r="GY18" i="6"/>
  <c r="GX18" i="6"/>
  <c r="GW18" i="6"/>
  <c r="GV18" i="6"/>
  <c r="GU18" i="6"/>
  <c r="GT18" i="6"/>
  <c r="GS18" i="6"/>
  <c r="GR18" i="6"/>
  <c r="GQ18" i="6"/>
  <c r="GP18" i="6"/>
  <c r="GO18" i="6"/>
  <c r="GN18" i="6"/>
  <c r="GM18" i="6"/>
  <c r="GL18" i="6"/>
  <c r="GK18" i="6"/>
  <c r="GJ18" i="6"/>
  <c r="GI18" i="6"/>
  <c r="GH18" i="6"/>
  <c r="GG18" i="6"/>
  <c r="GF18" i="6"/>
  <c r="GE18" i="6"/>
  <c r="GD18" i="6"/>
  <c r="GC18" i="6"/>
  <c r="GB18" i="6"/>
  <c r="GA18" i="6"/>
  <c r="FZ18" i="6"/>
  <c r="FY18" i="6"/>
  <c r="FX18" i="6"/>
  <c r="FW18" i="6"/>
  <c r="FV18" i="6"/>
  <c r="FU18" i="6"/>
  <c r="FT18" i="6"/>
  <c r="FS18" i="6"/>
  <c r="FR18" i="6"/>
  <c r="FQ18" i="6"/>
  <c r="FP18" i="6"/>
  <c r="FO18" i="6"/>
  <c r="FN18" i="6"/>
  <c r="FM18" i="6"/>
  <c r="FL18" i="6"/>
  <c r="FK18" i="6"/>
  <c r="FJ18" i="6"/>
  <c r="FI18" i="6"/>
  <c r="FH18" i="6"/>
  <c r="FG18" i="6"/>
  <c r="FF18" i="6"/>
  <c r="FE18" i="6"/>
  <c r="FD18" i="6"/>
  <c r="FC18" i="6"/>
  <c r="FB18" i="6"/>
  <c r="FA18" i="6"/>
  <c r="EZ18" i="6"/>
  <c r="EY18" i="6"/>
  <c r="EX18" i="6"/>
  <c r="EW18" i="6"/>
  <c r="EV18" i="6"/>
  <c r="EU18" i="6"/>
  <c r="ET18" i="6"/>
  <c r="ES18" i="6"/>
  <c r="ER18" i="6"/>
  <c r="EQ18" i="6"/>
  <c r="EP18" i="6"/>
  <c r="EO18" i="6"/>
  <c r="EN18" i="6"/>
  <c r="EM18" i="6"/>
  <c r="EL18" i="6"/>
  <c r="EK18" i="6"/>
  <c r="EJ18" i="6"/>
  <c r="EI18" i="6"/>
  <c r="EH18" i="6"/>
  <c r="EG18" i="6"/>
  <c r="EF18" i="6"/>
  <c r="EE18" i="6"/>
  <c r="ED18" i="6"/>
  <c r="EC18" i="6"/>
  <c r="EB18" i="6"/>
  <c r="EA18" i="6"/>
  <c r="DZ18" i="6"/>
  <c r="DY18" i="6"/>
  <c r="DX18" i="6"/>
  <c r="DW18" i="6"/>
  <c r="DV18" i="6"/>
  <c r="DU18" i="6"/>
  <c r="DT18" i="6"/>
  <c r="DS18" i="6"/>
  <c r="DR18" i="6"/>
  <c r="DQ18" i="6"/>
  <c r="DP18" i="6"/>
  <c r="DO18" i="6"/>
  <c r="DN18" i="6"/>
  <c r="DM18" i="6"/>
  <c r="DL18" i="6"/>
  <c r="DK18" i="6"/>
  <c r="DJ18" i="6"/>
  <c r="DI18" i="6"/>
  <c r="DH18" i="6"/>
  <c r="DG18" i="6"/>
  <c r="DF18" i="6"/>
  <c r="DE18" i="6"/>
  <c r="DD18" i="6"/>
  <c r="DC18" i="6"/>
  <c r="DB18" i="6"/>
  <c r="DA18" i="6"/>
  <c r="CZ18" i="6"/>
  <c r="CY18" i="6"/>
  <c r="CX18" i="6"/>
  <c r="CW18" i="6"/>
  <c r="CV18" i="6"/>
  <c r="CU18" i="6"/>
  <c r="CT18" i="6"/>
  <c r="CS18" i="6"/>
  <c r="CR18" i="6"/>
  <c r="CQ18" i="6"/>
  <c r="CP18" i="6"/>
  <c r="CO18" i="6"/>
  <c r="CN18" i="6"/>
  <c r="CM18" i="6"/>
  <c r="CL18" i="6"/>
  <c r="CK18" i="6"/>
  <c r="CJ18" i="6"/>
  <c r="CI18" i="6"/>
  <c r="CH18" i="6"/>
  <c r="CG18" i="6"/>
  <c r="CF18" i="6"/>
  <c r="CE18" i="6"/>
  <c r="CD18" i="6"/>
  <c r="CC18" i="6"/>
  <c r="CB18" i="6"/>
  <c r="CA18" i="6"/>
  <c r="BZ18" i="6"/>
  <c r="BY18" i="6"/>
  <c r="BX18" i="6"/>
  <c r="BW18" i="6"/>
  <c r="BV18" i="6"/>
  <c r="BU18" i="6"/>
  <c r="BT18" i="6"/>
  <c r="BS18" i="6"/>
  <c r="BR18" i="6"/>
  <c r="BQ18" i="6"/>
  <c r="BP18" i="6"/>
  <c r="BO18" i="6"/>
  <c r="BN18" i="6"/>
  <c r="BM18" i="6"/>
  <c r="BL18" i="6"/>
  <c r="BK18" i="6"/>
  <c r="BJ18" i="6"/>
  <c r="BI18" i="6"/>
  <c r="BH18" i="6"/>
  <c r="BG18" i="6"/>
  <c r="BF18" i="6"/>
  <c r="BE18" i="6"/>
  <c r="BD18" i="6"/>
  <c r="BC18" i="6"/>
  <c r="BB18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B18" i="6"/>
  <c r="A18" i="6"/>
  <c r="IV17" i="6"/>
  <c r="IU17" i="6"/>
  <c r="IT17" i="6"/>
  <c r="IS17" i="6"/>
  <c r="IR17" i="6"/>
  <c r="IQ17" i="6"/>
  <c r="IP17" i="6"/>
  <c r="IO17" i="6"/>
  <c r="IN17" i="6"/>
  <c r="IM17" i="6"/>
  <c r="IL17" i="6"/>
  <c r="IK17" i="6"/>
  <c r="IJ17" i="6"/>
  <c r="II17" i="6"/>
  <c r="IH17" i="6"/>
  <c r="IG17" i="6"/>
  <c r="IF17" i="6"/>
  <c r="IE17" i="6"/>
  <c r="ID17" i="6"/>
  <c r="IC17" i="6"/>
  <c r="IB17" i="6"/>
  <c r="IA17" i="6"/>
  <c r="HZ17" i="6"/>
  <c r="HY17" i="6"/>
  <c r="HX17" i="6"/>
  <c r="HW17" i="6"/>
  <c r="HV17" i="6"/>
  <c r="HU17" i="6"/>
  <c r="HT17" i="6"/>
  <c r="HS17" i="6"/>
  <c r="HR17" i="6"/>
  <c r="HQ17" i="6"/>
  <c r="HP17" i="6"/>
  <c r="HO17" i="6"/>
  <c r="HN17" i="6"/>
  <c r="HM17" i="6"/>
  <c r="HL17" i="6"/>
  <c r="HK17" i="6"/>
  <c r="HJ17" i="6"/>
  <c r="HI17" i="6"/>
  <c r="HH17" i="6"/>
  <c r="HG17" i="6"/>
  <c r="HF17" i="6"/>
  <c r="HE17" i="6"/>
  <c r="HD17" i="6"/>
  <c r="HC17" i="6"/>
  <c r="HB17" i="6"/>
  <c r="HA17" i="6"/>
  <c r="GZ17" i="6"/>
  <c r="GY17" i="6"/>
  <c r="GX17" i="6"/>
  <c r="GW17" i="6"/>
  <c r="GV17" i="6"/>
  <c r="GU17" i="6"/>
  <c r="GT17" i="6"/>
  <c r="GS17" i="6"/>
  <c r="GR17" i="6"/>
  <c r="GQ17" i="6"/>
  <c r="GP17" i="6"/>
  <c r="GO17" i="6"/>
  <c r="GN17" i="6"/>
  <c r="GM17" i="6"/>
  <c r="GL17" i="6"/>
  <c r="GK17" i="6"/>
  <c r="GJ17" i="6"/>
  <c r="GI17" i="6"/>
  <c r="GH17" i="6"/>
  <c r="GG17" i="6"/>
  <c r="GF17" i="6"/>
  <c r="GE17" i="6"/>
  <c r="GD17" i="6"/>
  <c r="GC17" i="6"/>
  <c r="GB17" i="6"/>
  <c r="GA17" i="6"/>
  <c r="FZ17" i="6"/>
  <c r="FY17" i="6"/>
  <c r="FX17" i="6"/>
  <c r="FW17" i="6"/>
  <c r="FV17" i="6"/>
  <c r="FU17" i="6"/>
  <c r="FT17" i="6"/>
  <c r="FS17" i="6"/>
  <c r="FR17" i="6"/>
  <c r="FQ17" i="6"/>
  <c r="FP17" i="6"/>
  <c r="FO17" i="6"/>
  <c r="FN17" i="6"/>
  <c r="FM17" i="6"/>
  <c r="FL17" i="6"/>
  <c r="FK17" i="6"/>
  <c r="FJ17" i="6"/>
  <c r="FI17" i="6"/>
  <c r="FH17" i="6"/>
  <c r="FG17" i="6"/>
  <c r="FF17" i="6"/>
  <c r="FE17" i="6"/>
  <c r="FD17" i="6"/>
  <c r="FC17" i="6"/>
  <c r="FB17" i="6"/>
  <c r="FA17" i="6"/>
  <c r="EZ17" i="6"/>
  <c r="EY17" i="6"/>
  <c r="EX17" i="6"/>
  <c r="EW17" i="6"/>
  <c r="EV17" i="6"/>
  <c r="EU17" i="6"/>
  <c r="ET17" i="6"/>
  <c r="ES17" i="6"/>
  <c r="ER17" i="6"/>
  <c r="EQ17" i="6"/>
  <c r="EP17" i="6"/>
  <c r="EO17" i="6"/>
  <c r="EN17" i="6"/>
  <c r="EM17" i="6"/>
  <c r="EL17" i="6"/>
  <c r="EK17" i="6"/>
  <c r="EJ17" i="6"/>
  <c r="EI17" i="6"/>
  <c r="EH17" i="6"/>
  <c r="EG17" i="6"/>
  <c r="EF17" i="6"/>
  <c r="EE17" i="6"/>
  <c r="ED17" i="6"/>
  <c r="EC17" i="6"/>
  <c r="EB17" i="6"/>
  <c r="EA17" i="6"/>
  <c r="DZ17" i="6"/>
  <c r="DY17" i="6"/>
  <c r="DX17" i="6"/>
  <c r="DW17" i="6"/>
  <c r="DV17" i="6"/>
  <c r="DU17" i="6"/>
  <c r="DT17" i="6"/>
  <c r="DS17" i="6"/>
  <c r="DR17" i="6"/>
  <c r="DQ17" i="6"/>
  <c r="DP17" i="6"/>
  <c r="DO17" i="6"/>
  <c r="DN17" i="6"/>
  <c r="DM17" i="6"/>
  <c r="DL17" i="6"/>
  <c r="DK17" i="6"/>
  <c r="DJ17" i="6"/>
  <c r="DI17" i="6"/>
  <c r="DH17" i="6"/>
  <c r="DG17" i="6"/>
  <c r="DF17" i="6"/>
  <c r="DE17" i="6"/>
  <c r="DD17" i="6"/>
  <c r="DC17" i="6"/>
  <c r="DB17" i="6"/>
  <c r="DA17" i="6"/>
  <c r="CZ17" i="6"/>
  <c r="CY17" i="6"/>
  <c r="CX17" i="6"/>
  <c r="CW17" i="6"/>
  <c r="CV17" i="6"/>
  <c r="CU17" i="6"/>
  <c r="CT17" i="6"/>
  <c r="CS17" i="6"/>
  <c r="CR17" i="6"/>
  <c r="CQ17" i="6"/>
  <c r="CP17" i="6"/>
  <c r="CO17" i="6"/>
  <c r="CN17" i="6"/>
  <c r="CM17" i="6"/>
  <c r="CL17" i="6"/>
  <c r="CK17" i="6"/>
  <c r="CJ17" i="6"/>
  <c r="CI17" i="6"/>
  <c r="CH17" i="6"/>
  <c r="CG17" i="6"/>
  <c r="CF17" i="6"/>
  <c r="CE17" i="6"/>
  <c r="CD17" i="6"/>
  <c r="CC17" i="6"/>
  <c r="CB17" i="6"/>
  <c r="CA17" i="6"/>
  <c r="BZ17" i="6"/>
  <c r="BY17" i="6"/>
  <c r="BX17" i="6"/>
  <c r="BW17" i="6"/>
  <c r="BV17" i="6"/>
  <c r="BU17" i="6"/>
  <c r="BT17" i="6"/>
  <c r="BS17" i="6"/>
  <c r="BR17" i="6"/>
  <c r="BQ17" i="6"/>
  <c r="BP17" i="6"/>
  <c r="BO17" i="6"/>
  <c r="BN17" i="6"/>
  <c r="BM17" i="6"/>
  <c r="BL17" i="6"/>
  <c r="BK17" i="6"/>
  <c r="BJ17" i="6"/>
  <c r="BI17" i="6"/>
  <c r="BH17" i="6"/>
  <c r="BG17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A17" i="6"/>
  <c r="IV16" i="6"/>
  <c r="IU16" i="6"/>
  <c r="IT16" i="6"/>
  <c r="IS16" i="6"/>
  <c r="IR16" i="6"/>
  <c r="IQ16" i="6"/>
  <c r="IP16" i="6"/>
  <c r="IO16" i="6"/>
  <c r="IN16" i="6"/>
  <c r="IM16" i="6"/>
  <c r="IL16" i="6"/>
  <c r="IK16" i="6"/>
  <c r="IJ16" i="6"/>
  <c r="II16" i="6"/>
  <c r="IH16" i="6"/>
  <c r="IG16" i="6"/>
  <c r="IF16" i="6"/>
  <c r="IE16" i="6"/>
  <c r="ID16" i="6"/>
  <c r="IC16" i="6"/>
  <c r="IB16" i="6"/>
  <c r="IA16" i="6"/>
  <c r="HZ16" i="6"/>
  <c r="HY16" i="6"/>
  <c r="HX16" i="6"/>
  <c r="HW16" i="6"/>
  <c r="HV16" i="6"/>
  <c r="HU16" i="6"/>
  <c r="HT16" i="6"/>
  <c r="HS16" i="6"/>
  <c r="HR16" i="6"/>
  <c r="HQ16" i="6"/>
  <c r="HP16" i="6"/>
  <c r="HO16" i="6"/>
  <c r="HN16" i="6"/>
  <c r="HM16" i="6"/>
  <c r="HL16" i="6"/>
  <c r="HK16" i="6"/>
  <c r="HJ16" i="6"/>
  <c r="HI16" i="6"/>
  <c r="HH16" i="6"/>
  <c r="HG16" i="6"/>
  <c r="HF16" i="6"/>
  <c r="HE16" i="6"/>
  <c r="HD16" i="6"/>
  <c r="HC16" i="6"/>
  <c r="HB16" i="6"/>
  <c r="HA16" i="6"/>
  <c r="GZ16" i="6"/>
  <c r="GY16" i="6"/>
  <c r="GX16" i="6"/>
  <c r="GW16" i="6"/>
  <c r="GV16" i="6"/>
  <c r="GU16" i="6"/>
  <c r="GT16" i="6"/>
  <c r="GS16" i="6"/>
  <c r="GR16" i="6"/>
  <c r="GQ16" i="6"/>
  <c r="GP16" i="6"/>
  <c r="GO16" i="6"/>
  <c r="GN16" i="6"/>
  <c r="GM16" i="6"/>
  <c r="GL16" i="6"/>
  <c r="GK16" i="6"/>
  <c r="GJ16" i="6"/>
  <c r="GI16" i="6"/>
  <c r="GH16" i="6"/>
  <c r="GG16" i="6"/>
  <c r="GF16" i="6"/>
  <c r="GE16" i="6"/>
  <c r="GD16" i="6"/>
  <c r="GC16" i="6"/>
  <c r="GB16" i="6"/>
  <c r="GA16" i="6"/>
  <c r="FZ16" i="6"/>
  <c r="FY16" i="6"/>
  <c r="FX16" i="6"/>
  <c r="FW16" i="6"/>
  <c r="FV16" i="6"/>
  <c r="FU16" i="6"/>
  <c r="FT16" i="6"/>
  <c r="FS16" i="6"/>
  <c r="FR16" i="6"/>
  <c r="FQ16" i="6"/>
  <c r="FP16" i="6"/>
  <c r="FO16" i="6"/>
  <c r="FN16" i="6"/>
  <c r="FM16" i="6"/>
  <c r="FL16" i="6"/>
  <c r="FK16" i="6"/>
  <c r="FJ16" i="6"/>
  <c r="FI16" i="6"/>
  <c r="FH16" i="6"/>
  <c r="FG16" i="6"/>
  <c r="FF16" i="6"/>
  <c r="FE16" i="6"/>
  <c r="FD16" i="6"/>
  <c r="FC16" i="6"/>
  <c r="FB16" i="6"/>
  <c r="FA16" i="6"/>
  <c r="EZ16" i="6"/>
  <c r="EY16" i="6"/>
  <c r="EX16" i="6"/>
  <c r="EW16" i="6"/>
  <c r="EV16" i="6"/>
  <c r="EU16" i="6"/>
  <c r="ET16" i="6"/>
  <c r="ES16" i="6"/>
  <c r="ER16" i="6"/>
  <c r="EQ16" i="6"/>
  <c r="EP16" i="6"/>
  <c r="EO16" i="6"/>
  <c r="EN16" i="6"/>
  <c r="EM16" i="6"/>
  <c r="EL16" i="6"/>
  <c r="EK16" i="6"/>
  <c r="EJ16" i="6"/>
  <c r="EI16" i="6"/>
  <c r="EH16" i="6"/>
  <c r="EG16" i="6"/>
  <c r="EF16" i="6"/>
  <c r="EE16" i="6"/>
  <c r="ED16" i="6"/>
  <c r="EC16" i="6"/>
  <c r="EB16" i="6"/>
  <c r="EA16" i="6"/>
  <c r="DZ16" i="6"/>
  <c r="DY16" i="6"/>
  <c r="DX16" i="6"/>
  <c r="DW16" i="6"/>
  <c r="DV16" i="6"/>
  <c r="DU16" i="6"/>
  <c r="DT16" i="6"/>
  <c r="DS16" i="6"/>
  <c r="DR16" i="6"/>
  <c r="DQ16" i="6"/>
  <c r="DP16" i="6"/>
  <c r="DO16" i="6"/>
  <c r="DN16" i="6"/>
  <c r="DM16" i="6"/>
  <c r="DL16" i="6"/>
  <c r="DK16" i="6"/>
  <c r="DJ16" i="6"/>
  <c r="DI16" i="6"/>
  <c r="DH16" i="6"/>
  <c r="DG16" i="6"/>
  <c r="DF16" i="6"/>
  <c r="DE16" i="6"/>
  <c r="DD16" i="6"/>
  <c r="DC16" i="6"/>
  <c r="DB16" i="6"/>
  <c r="DA16" i="6"/>
  <c r="CZ16" i="6"/>
  <c r="CY16" i="6"/>
  <c r="CX16" i="6"/>
  <c r="CW16" i="6"/>
  <c r="CV16" i="6"/>
  <c r="CU16" i="6"/>
  <c r="CT16" i="6"/>
  <c r="CS16" i="6"/>
  <c r="CR16" i="6"/>
  <c r="CQ16" i="6"/>
  <c r="CP16" i="6"/>
  <c r="CO16" i="6"/>
  <c r="CN16" i="6"/>
  <c r="CM16" i="6"/>
  <c r="CL16" i="6"/>
  <c r="CK16" i="6"/>
  <c r="CJ16" i="6"/>
  <c r="CI16" i="6"/>
  <c r="CH16" i="6"/>
  <c r="CG16" i="6"/>
  <c r="CF16" i="6"/>
  <c r="CE16" i="6"/>
  <c r="CD16" i="6"/>
  <c r="CC16" i="6"/>
  <c r="CB16" i="6"/>
  <c r="CA16" i="6"/>
  <c r="BZ16" i="6"/>
  <c r="BY16" i="6"/>
  <c r="BX16" i="6"/>
  <c r="BW16" i="6"/>
  <c r="BV16" i="6"/>
  <c r="BU16" i="6"/>
  <c r="BT16" i="6"/>
  <c r="BS16" i="6"/>
  <c r="BR16" i="6"/>
  <c r="BQ16" i="6"/>
  <c r="BP16" i="6"/>
  <c r="BO16" i="6"/>
  <c r="BN16" i="6"/>
  <c r="BM16" i="6"/>
  <c r="BL16" i="6"/>
  <c r="BK16" i="6"/>
  <c r="BJ16" i="6"/>
  <c r="BI16" i="6"/>
  <c r="BH16" i="6"/>
  <c r="BG16" i="6"/>
  <c r="BF16" i="6"/>
  <c r="BE16" i="6"/>
  <c r="BD16" i="6"/>
  <c r="BC16" i="6"/>
  <c r="BB16" i="6"/>
  <c r="BA16" i="6"/>
  <c r="AZ16" i="6"/>
  <c r="AY16" i="6"/>
  <c r="AX16" i="6"/>
  <c r="AW16" i="6"/>
  <c r="AV16" i="6"/>
  <c r="AU16" i="6"/>
  <c r="AT16" i="6"/>
  <c r="AS16" i="6"/>
  <c r="AR16" i="6"/>
  <c r="AQ16" i="6"/>
  <c r="AP16" i="6"/>
  <c r="AO16" i="6"/>
  <c r="AN16" i="6"/>
  <c r="AM16" i="6"/>
  <c r="AL16" i="6"/>
  <c r="AK16" i="6"/>
  <c r="AJ16" i="6"/>
  <c r="AI16" i="6"/>
  <c r="AH16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B16" i="6"/>
  <c r="A16" i="6"/>
  <c r="IV15" i="6"/>
  <c r="IU15" i="6"/>
  <c r="IT15" i="6"/>
  <c r="IS15" i="6"/>
  <c r="IR15" i="6"/>
  <c r="IQ15" i="6"/>
  <c r="IP15" i="6"/>
  <c r="IO15" i="6"/>
  <c r="IN15" i="6"/>
  <c r="IM15" i="6"/>
  <c r="IL15" i="6"/>
  <c r="IK15" i="6"/>
  <c r="IJ15" i="6"/>
  <c r="II15" i="6"/>
  <c r="IH15" i="6"/>
  <c r="IG15" i="6"/>
  <c r="IF15" i="6"/>
  <c r="IE15" i="6"/>
  <c r="ID15" i="6"/>
  <c r="IC15" i="6"/>
  <c r="IB15" i="6"/>
  <c r="IA15" i="6"/>
  <c r="HZ15" i="6"/>
  <c r="HY15" i="6"/>
  <c r="HX15" i="6"/>
  <c r="HW15" i="6"/>
  <c r="HV15" i="6"/>
  <c r="HU15" i="6"/>
  <c r="HT15" i="6"/>
  <c r="HS15" i="6"/>
  <c r="HR15" i="6"/>
  <c r="HQ15" i="6"/>
  <c r="HP15" i="6"/>
  <c r="HO15" i="6"/>
  <c r="HN15" i="6"/>
  <c r="HM15" i="6"/>
  <c r="HL15" i="6"/>
  <c r="HK15" i="6"/>
  <c r="HJ15" i="6"/>
  <c r="HI15" i="6"/>
  <c r="HH15" i="6"/>
  <c r="HG15" i="6"/>
  <c r="HF15" i="6"/>
  <c r="HE15" i="6"/>
  <c r="HD15" i="6"/>
  <c r="HC15" i="6"/>
  <c r="HB15" i="6"/>
  <c r="HA15" i="6"/>
  <c r="GZ15" i="6"/>
  <c r="GY15" i="6"/>
  <c r="GX15" i="6"/>
  <c r="GW15" i="6"/>
  <c r="GV15" i="6"/>
  <c r="GU15" i="6"/>
  <c r="GT15" i="6"/>
  <c r="GS15" i="6"/>
  <c r="GR15" i="6"/>
  <c r="GQ15" i="6"/>
  <c r="GP15" i="6"/>
  <c r="GO15" i="6"/>
  <c r="GN15" i="6"/>
  <c r="GM15" i="6"/>
  <c r="GL15" i="6"/>
  <c r="GK15" i="6"/>
  <c r="GJ15" i="6"/>
  <c r="GI15" i="6"/>
  <c r="GH15" i="6"/>
  <c r="GG15" i="6"/>
  <c r="GF15" i="6"/>
  <c r="GE15" i="6"/>
  <c r="GD15" i="6"/>
  <c r="GC15" i="6"/>
  <c r="GB15" i="6"/>
  <c r="GA15" i="6"/>
  <c r="FZ15" i="6"/>
  <c r="FY15" i="6"/>
  <c r="FX15" i="6"/>
  <c r="FW15" i="6"/>
  <c r="FV15" i="6"/>
  <c r="FU15" i="6"/>
  <c r="FT15" i="6"/>
  <c r="FS15" i="6"/>
  <c r="FR15" i="6"/>
  <c r="FQ15" i="6"/>
  <c r="FP15" i="6"/>
  <c r="FO15" i="6"/>
  <c r="FN15" i="6"/>
  <c r="FM15" i="6"/>
  <c r="FL15" i="6"/>
  <c r="FK15" i="6"/>
  <c r="FJ15" i="6"/>
  <c r="FI15" i="6"/>
  <c r="FH15" i="6"/>
  <c r="FG15" i="6"/>
  <c r="FF15" i="6"/>
  <c r="FE15" i="6"/>
  <c r="FD15" i="6"/>
  <c r="FC15" i="6"/>
  <c r="FB15" i="6"/>
  <c r="FA15" i="6"/>
  <c r="EZ15" i="6"/>
  <c r="EY15" i="6"/>
  <c r="EX15" i="6"/>
  <c r="EW15" i="6"/>
  <c r="EV15" i="6"/>
  <c r="EU15" i="6"/>
  <c r="ET15" i="6"/>
  <c r="ES15" i="6"/>
  <c r="ER15" i="6"/>
  <c r="EQ15" i="6"/>
  <c r="EP15" i="6"/>
  <c r="EO15" i="6"/>
  <c r="EN15" i="6"/>
  <c r="EM15" i="6"/>
  <c r="EL15" i="6"/>
  <c r="EK15" i="6"/>
  <c r="EJ15" i="6"/>
  <c r="EI15" i="6"/>
  <c r="EH15" i="6"/>
  <c r="EG15" i="6"/>
  <c r="EF15" i="6"/>
  <c r="EE15" i="6"/>
  <c r="ED15" i="6"/>
  <c r="EC15" i="6"/>
  <c r="EB15" i="6"/>
  <c r="EA15" i="6"/>
  <c r="DZ15" i="6"/>
  <c r="DY15" i="6"/>
  <c r="DX15" i="6"/>
  <c r="DW15" i="6"/>
  <c r="DV15" i="6"/>
  <c r="DU15" i="6"/>
  <c r="DT15" i="6"/>
  <c r="DS15" i="6"/>
  <c r="DR15" i="6"/>
  <c r="DQ15" i="6"/>
  <c r="DP15" i="6"/>
  <c r="DO15" i="6"/>
  <c r="DN15" i="6"/>
  <c r="DM15" i="6"/>
  <c r="DL15" i="6"/>
  <c r="DK15" i="6"/>
  <c r="DJ15" i="6"/>
  <c r="DI15" i="6"/>
  <c r="DH15" i="6"/>
  <c r="DG15" i="6"/>
  <c r="DF15" i="6"/>
  <c r="DE15" i="6"/>
  <c r="DD15" i="6"/>
  <c r="DC15" i="6"/>
  <c r="DB15" i="6"/>
  <c r="DA15" i="6"/>
  <c r="CZ15" i="6"/>
  <c r="CY15" i="6"/>
  <c r="CX15" i="6"/>
  <c r="CW15" i="6"/>
  <c r="CV15" i="6"/>
  <c r="CU15" i="6"/>
  <c r="CT15" i="6"/>
  <c r="CS15" i="6"/>
  <c r="CR15" i="6"/>
  <c r="CQ15" i="6"/>
  <c r="CP15" i="6"/>
  <c r="CO15" i="6"/>
  <c r="CN15" i="6"/>
  <c r="CM15" i="6"/>
  <c r="CL15" i="6"/>
  <c r="CK15" i="6"/>
  <c r="CJ15" i="6"/>
  <c r="CI15" i="6"/>
  <c r="CH15" i="6"/>
  <c r="CG15" i="6"/>
  <c r="CF15" i="6"/>
  <c r="CE15" i="6"/>
  <c r="CD15" i="6"/>
  <c r="CC15" i="6"/>
  <c r="CB15" i="6"/>
  <c r="CA15" i="6"/>
  <c r="BZ15" i="6"/>
  <c r="BY15" i="6"/>
  <c r="BX15" i="6"/>
  <c r="BW15" i="6"/>
  <c r="BV15" i="6"/>
  <c r="BU15" i="6"/>
  <c r="BT15" i="6"/>
  <c r="BS15" i="6"/>
  <c r="BR15" i="6"/>
  <c r="BQ15" i="6"/>
  <c r="BP15" i="6"/>
  <c r="BO15" i="6"/>
  <c r="BN15" i="6"/>
  <c r="BM15" i="6"/>
  <c r="BL15" i="6"/>
  <c r="BK15" i="6"/>
  <c r="BJ15" i="6"/>
  <c r="BI15" i="6"/>
  <c r="BH15" i="6"/>
  <c r="BG15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B15" i="6"/>
  <c r="A15" i="6"/>
  <c r="IV14" i="6"/>
  <c r="IU14" i="6"/>
  <c r="IT14" i="6"/>
  <c r="IS14" i="6"/>
  <c r="IR14" i="6"/>
  <c r="IQ14" i="6"/>
  <c r="IP14" i="6"/>
  <c r="IO14" i="6"/>
  <c r="IN14" i="6"/>
  <c r="IM14" i="6"/>
  <c r="IL14" i="6"/>
  <c r="IK14" i="6"/>
  <c r="IJ14" i="6"/>
  <c r="II14" i="6"/>
  <c r="IH14" i="6"/>
  <c r="IG14" i="6"/>
  <c r="IF14" i="6"/>
  <c r="IE14" i="6"/>
  <c r="ID14" i="6"/>
  <c r="IC14" i="6"/>
  <c r="IB14" i="6"/>
  <c r="IA14" i="6"/>
  <c r="HZ14" i="6"/>
  <c r="HY14" i="6"/>
  <c r="HX14" i="6"/>
  <c r="HW14" i="6"/>
  <c r="HV14" i="6"/>
  <c r="HU14" i="6"/>
  <c r="HT14" i="6"/>
  <c r="HS14" i="6"/>
  <c r="HR14" i="6"/>
  <c r="HQ14" i="6"/>
  <c r="HP14" i="6"/>
  <c r="HO14" i="6"/>
  <c r="HN14" i="6"/>
  <c r="HM14" i="6"/>
  <c r="HL14" i="6"/>
  <c r="HK14" i="6"/>
  <c r="HJ14" i="6"/>
  <c r="HI14" i="6"/>
  <c r="HH14" i="6"/>
  <c r="HG14" i="6"/>
  <c r="HF14" i="6"/>
  <c r="HE14" i="6"/>
  <c r="HD14" i="6"/>
  <c r="HC14" i="6"/>
  <c r="HB14" i="6"/>
  <c r="HA14" i="6"/>
  <c r="GZ14" i="6"/>
  <c r="GY14" i="6"/>
  <c r="GX14" i="6"/>
  <c r="GW14" i="6"/>
  <c r="GV14" i="6"/>
  <c r="GU14" i="6"/>
  <c r="GT14" i="6"/>
  <c r="GS14" i="6"/>
  <c r="GR14" i="6"/>
  <c r="GQ14" i="6"/>
  <c r="GP14" i="6"/>
  <c r="GO14" i="6"/>
  <c r="GN14" i="6"/>
  <c r="GM14" i="6"/>
  <c r="GL14" i="6"/>
  <c r="GK14" i="6"/>
  <c r="GJ14" i="6"/>
  <c r="GI14" i="6"/>
  <c r="GH14" i="6"/>
  <c r="GG14" i="6"/>
  <c r="GF14" i="6"/>
  <c r="GE14" i="6"/>
  <c r="GD14" i="6"/>
  <c r="GC14" i="6"/>
  <c r="GB14" i="6"/>
  <c r="GA14" i="6"/>
  <c r="FZ14" i="6"/>
  <c r="FY14" i="6"/>
  <c r="FX14" i="6"/>
  <c r="FW14" i="6"/>
  <c r="FV14" i="6"/>
  <c r="FU14" i="6"/>
  <c r="FT14" i="6"/>
  <c r="FS14" i="6"/>
  <c r="FR14" i="6"/>
  <c r="FQ14" i="6"/>
  <c r="FP14" i="6"/>
  <c r="FO14" i="6"/>
  <c r="FN14" i="6"/>
  <c r="FM14" i="6"/>
  <c r="FL14" i="6"/>
  <c r="FK14" i="6"/>
  <c r="FJ14" i="6"/>
  <c r="FI14" i="6"/>
  <c r="FH14" i="6"/>
  <c r="FG14" i="6"/>
  <c r="FF14" i="6"/>
  <c r="FE14" i="6"/>
  <c r="FD14" i="6"/>
  <c r="FC14" i="6"/>
  <c r="FB14" i="6"/>
  <c r="FA14" i="6"/>
  <c r="EZ14" i="6"/>
  <c r="EY14" i="6"/>
  <c r="EX14" i="6"/>
  <c r="EW14" i="6"/>
  <c r="EV14" i="6"/>
  <c r="EU14" i="6"/>
  <c r="ET14" i="6"/>
  <c r="ES14" i="6"/>
  <c r="ER14" i="6"/>
  <c r="EQ14" i="6"/>
  <c r="EP14" i="6"/>
  <c r="EO14" i="6"/>
  <c r="EN14" i="6"/>
  <c r="EM14" i="6"/>
  <c r="EL14" i="6"/>
  <c r="EK14" i="6"/>
  <c r="EJ14" i="6"/>
  <c r="EI14" i="6"/>
  <c r="EH14" i="6"/>
  <c r="EG14" i="6"/>
  <c r="EF14" i="6"/>
  <c r="EE14" i="6"/>
  <c r="ED14" i="6"/>
  <c r="EC14" i="6"/>
  <c r="EB14" i="6"/>
  <c r="EA14" i="6"/>
  <c r="DZ14" i="6"/>
  <c r="DY14" i="6"/>
  <c r="DX14" i="6"/>
  <c r="DW14" i="6"/>
  <c r="DV14" i="6"/>
  <c r="DU14" i="6"/>
  <c r="DT14" i="6"/>
  <c r="DS14" i="6"/>
  <c r="DR14" i="6"/>
  <c r="DQ14" i="6"/>
  <c r="DP14" i="6"/>
  <c r="DO14" i="6"/>
  <c r="DN14" i="6"/>
  <c r="DM14" i="6"/>
  <c r="DL14" i="6"/>
  <c r="DK14" i="6"/>
  <c r="DJ14" i="6"/>
  <c r="DI14" i="6"/>
  <c r="DH14" i="6"/>
  <c r="DG14" i="6"/>
  <c r="DF14" i="6"/>
  <c r="DE14" i="6"/>
  <c r="DD14" i="6"/>
  <c r="DC14" i="6"/>
  <c r="DB14" i="6"/>
  <c r="DA14" i="6"/>
  <c r="CZ14" i="6"/>
  <c r="CY14" i="6"/>
  <c r="CX14" i="6"/>
  <c r="CW14" i="6"/>
  <c r="CV14" i="6"/>
  <c r="CU14" i="6"/>
  <c r="CT14" i="6"/>
  <c r="CS14" i="6"/>
  <c r="CR14" i="6"/>
  <c r="CQ14" i="6"/>
  <c r="CP14" i="6"/>
  <c r="CO14" i="6"/>
  <c r="CN14" i="6"/>
  <c r="CM14" i="6"/>
  <c r="CL14" i="6"/>
  <c r="CK14" i="6"/>
  <c r="CJ14" i="6"/>
  <c r="CI14" i="6"/>
  <c r="CH14" i="6"/>
  <c r="CG14" i="6"/>
  <c r="CF14" i="6"/>
  <c r="CE14" i="6"/>
  <c r="CD14" i="6"/>
  <c r="CC14" i="6"/>
  <c r="CB14" i="6"/>
  <c r="CA14" i="6"/>
  <c r="BZ14" i="6"/>
  <c r="BY14" i="6"/>
  <c r="BX14" i="6"/>
  <c r="BW14" i="6"/>
  <c r="BV14" i="6"/>
  <c r="BU14" i="6"/>
  <c r="BT14" i="6"/>
  <c r="BS14" i="6"/>
  <c r="BR14" i="6"/>
  <c r="BQ14" i="6"/>
  <c r="BP14" i="6"/>
  <c r="BO14" i="6"/>
  <c r="BN14" i="6"/>
  <c r="BM14" i="6"/>
  <c r="BL14" i="6"/>
  <c r="BK14" i="6"/>
  <c r="BJ14" i="6"/>
  <c r="BI14" i="6"/>
  <c r="BH14" i="6"/>
  <c r="BG14" i="6"/>
  <c r="BF14" i="6"/>
  <c r="BE14" i="6"/>
  <c r="BD14" i="6"/>
  <c r="BC14" i="6"/>
  <c r="BB14" i="6"/>
  <c r="BA14" i="6"/>
  <c r="AZ14" i="6"/>
  <c r="AY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A14" i="6"/>
  <c r="IV13" i="6"/>
  <c r="IU13" i="6"/>
  <c r="IT13" i="6"/>
  <c r="IS13" i="6"/>
  <c r="IR13" i="6"/>
  <c r="IQ13" i="6"/>
  <c r="IP13" i="6"/>
  <c r="IO13" i="6"/>
  <c r="IN13" i="6"/>
  <c r="IM13" i="6"/>
  <c r="IL13" i="6"/>
  <c r="IK13" i="6"/>
  <c r="IJ13" i="6"/>
  <c r="II13" i="6"/>
  <c r="IH13" i="6"/>
  <c r="IG13" i="6"/>
  <c r="IF13" i="6"/>
  <c r="IE13" i="6"/>
  <c r="ID13" i="6"/>
  <c r="IC13" i="6"/>
  <c r="IB13" i="6"/>
  <c r="IA13" i="6"/>
  <c r="HZ13" i="6"/>
  <c r="HY13" i="6"/>
  <c r="HX13" i="6"/>
  <c r="HW13" i="6"/>
  <c r="HV13" i="6"/>
  <c r="HU13" i="6"/>
  <c r="HT13" i="6"/>
  <c r="HS13" i="6"/>
  <c r="HR13" i="6"/>
  <c r="HQ13" i="6"/>
  <c r="HP13" i="6"/>
  <c r="HO13" i="6"/>
  <c r="HN13" i="6"/>
  <c r="HM13" i="6"/>
  <c r="HL13" i="6"/>
  <c r="HK13" i="6"/>
  <c r="HJ13" i="6"/>
  <c r="HI13" i="6"/>
  <c r="HH13" i="6"/>
  <c r="HG13" i="6"/>
  <c r="HF13" i="6"/>
  <c r="HE13" i="6"/>
  <c r="HD13" i="6"/>
  <c r="HC13" i="6"/>
  <c r="HB13" i="6"/>
  <c r="HA13" i="6"/>
  <c r="GZ13" i="6"/>
  <c r="GY13" i="6"/>
  <c r="GX13" i="6"/>
  <c r="GW13" i="6"/>
  <c r="GV13" i="6"/>
  <c r="GU13" i="6"/>
  <c r="GT13" i="6"/>
  <c r="GS13" i="6"/>
  <c r="GR13" i="6"/>
  <c r="GQ13" i="6"/>
  <c r="GP13" i="6"/>
  <c r="GO13" i="6"/>
  <c r="GN13" i="6"/>
  <c r="GM13" i="6"/>
  <c r="GL13" i="6"/>
  <c r="GK13" i="6"/>
  <c r="GJ13" i="6"/>
  <c r="GI13" i="6"/>
  <c r="GH13" i="6"/>
  <c r="GG13" i="6"/>
  <c r="GF13" i="6"/>
  <c r="GE13" i="6"/>
  <c r="GD13" i="6"/>
  <c r="GC13" i="6"/>
  <c r="GB13" i="6"/>
  <c r="GA13" i="6"/>
  <c r="FZ13" i="6"/>
  <c r="FY13" i="6"/>
  <c r="FX13" i="6"/>
  <c r="FW13" i="6"/>
  <c r="FV13" i="6"/>
  <c r="FU13" i="6"/>
  <c r="FT13" i="6"/>
  <c r="FS13" i="6"/>
  <c r="FR13" i="6"/>
  <c r="FQ13" i="6"/>
  <c r="FP13" i="6"/>
  <c r="FO13" i="6"/>
  <c r="FN13" i="6"/>
  <c r="FM13" i="6"/>
  <c r="FL13" i="6"/>
  <c r="FK13" i="6"/>
  <c r="FJ13" i="6"/>
  <c r="FI13" i="6"/>
  <c r="FH13" i="6"/>
  <c r="FG13" i="6"/>
  <c r="FF13" i="6"/>
  <c r="FE13" i="6"/>
  <c r="FD13" i="6"/>
  <c r="FC13" i="6"/>
  <c r="FB13" i="6"/>
  <c r="FA13" i="6"/>
  <c r="EZ13" i="6"/>
  <c r="EY13" i="6"/>
  <c r="EX13" i="6"/>
  <c r="EW13" i="6"/>
  <c r="EV13" i="6"/>
  <c r="EU13" i="6"/>
  <c r="ET13" i="6"/>
  <c r="ES13" i="6"/>
  <c r="ER13" i="6"/>
  <c r="EQ13" i="6"/>
  <c r="EP13" i="6"/>
  <c r="EO13" i="6"/>
  <c r="EN13" i="6"/>
  <c r="EM13" i="6"/>
  <c r="EL13" i="6"/>
  <c r="EK13" i="6"/>
  <c r="EJ13" i="6"/>
  <c r="EI13" i="6"/>
  <c r="EH13" i="6"/>
  <c r="EG13" i="6"/>
  <c r="EF13" i="6"/>
  <c r="EE13" i="6"/>
  <c r="ED13" i="6"/>
  <c r="EC13" i="6"/>
  <c r="EB13" i="6"/>
  <c r="EA13" i="6"/>
  <c r="DZ13" i="6"/>
  <c r="DY13" i="6"/>
  <c r="DX13" i="6"/>
  <c r="DW13" i="6"/>
  <c r="DV13" i="6"/>
  <c r="DU13" i="6"/>
  <c r="DT13" i="6"/>
  <c r="DS13" i="6"/>
  <c r="DR13" i="6"/>
  <c r="DQ13" i="6"/>
  <c r="DP13" i="6"/>
  <c r="DO13" i="6"/>
  <c r="DN13" i="6"/>
  <c r="DM13" i="6"/>
  <c r="DL13" i="6"/>
  <c r="DK13" i="6"/>
  <c r="DJ13" i="6"/>
  <c r="DI13" i="6"/>
  <c r="DH13" i="6"/>
  <c r="DG13" i="6"/>
  <c r="DF13" i="6"/>
  <c r="DE13" i="6"/>
  <c r="DD13" i="6"/>
  <c r="DC13" i="6"/>
  <c r="DB13" i="6"/>
  <c r="DA13" i="6"/>
  <c r="CZ13" i="6"/>
  <c r="CY13" i="6"/>
  <c r="CX13" i="6"/>
  <c r="CW13" i="6"/>
  <c r="CV13" i="6"/>
  <c r="CU13" i="6"/>
  <c r="CT13" i="6"/>
  <c r="CS13" i="6"/>
  <c r="CR13" i="6"/>
  <c r="CQ13" i="6"/>
  <c r="CP13" i="6"/>
  <c r="CO13" i="6"/>
  <c r="CN13" i="6"/>
  <c r="CM13" i="6"/>
  <c r="CL13" i="6"/>
  <c r="CK13" i="6"/>
  <c r="CJ13" i="6"/>
  <c r="CI13" i="6"/>
  <c r="CH13" i="6"/>
  <c r="CG13" i="6"/>
  <c r="CF13" i="6"/>
  <c r="CE13" i="6"/>
  <c r="CD13" i="6"/>
  <c r="CC13" i="6"/>
  <c r="CB13" i="6"/>
  <c r="CA13" i="6"/>
  <c r="BZ13" i="6"/>
  <c r="BY13" i="6"/>
  <c r="BX13" i="6"/>
  <c r="BW13" i="6"/>
  <c r="BV13" i="6"/>
  <c r="BU13" i="6"/>
  <c r="BT13" i="6"/>
  <c r="BS13" i="6"/>
  <c r="BR13" i="6"/>
  <c r="BQ13" i="6"/>
  <c r="BP13" i="6"/>
  <c r="BO13" i="6"/>
  <c r="BN13" i="6"/>
  <c r="BM13" i="6"/>
  <c r="BL13" i="6"/>
  <c r="BK13" i="6"/>
  <c r="BJ13" i="6"/>
  <c r="BI13" i="6"/>
  <c r="BH13" i="6"/>
  <c r="BG13" i="6"/>
  <c r="BF13" i="6"/>
  <c r="BE13" i="6"/>
  <c r="BD13" i="6"/>
  <c r="BC13" i="6"/>
  <c r="BB13" i="6"/>
  <c r="BA13" i="6"/>
  <c r="AZ13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A13" i="6"/>
  <c r="IV12" i="6"/>
  <c r="IU12" i="6"/>
  <c r="IT12" i="6"/>
  <c r="IS12" i="6"/>
  <c r="IR12" i="6"/>
  <c r="IQ12" i="6"/>
  <c r="IP12" i="6"/>
  <c r="IO12" i="6"/>
  <c r="IN12" i="6"/>
  <c r="IM12" i="6"/>
  <c r="IL12" i="6"/>
  <c r="IK12" i="6"/>
  <c r="IJ12" i="6"/>
  <c r="II12" i="6"/>
  <c r="IH12" i="6"/>
  <c r="IG12" i="6"/>
  <c r="IF12" i="6"/>
  <c r="IE12" i="6"/>
  <c r="ID12" i="6"/>
  <c r="IC12" i="6"/>
  <c r="IB12" i="6"/>
  <c r="IA12" i="6"/>
  <c r="HZ12" i="6"/>
  <c r="HY12" i="6"/>
  <c r="HX12" i="6"/>
  <c r="HW12" i="6"/>
  <c r="HV12" i="6"/>
  <c r="HU12" i="6"/>
  <c r="HT12" i="6"/>
  <c r="HS12" i="6"/>
  <c r="HR12" i="6"/>
  <c r="HQ12" i="6"/>
  <c r="HP12" i="6"/>
  <c r="HO12" i="6"/>
  <c r="HN12" i="6"/>
  <c r="HM12" i="6"/>
  <c r="HL12" i="6"/>
  <c r="HK12" i="6"/>
  <c r="HJ12" i="6"/>
  <c r="HI12" i="6"/>
  <c r="HH12" i="6"/>
  <c r="HG12" i="6"/>
  <c r="HF12" i="6"/>
  <c r="HE12" i="6"/>
  <c r="HD12" i="6"/>
  <c r="HC12" i="6"/>
  <c r="HB12" i="6"/>
  <c r="HA12" i="6"/>
  <c r="GZ12" i="6"/>
  <c r="GY12" i="6"/>
  <c r="GX12" i="6"/>
  <c r="GW12" i="6"/>
  <c r="GV12" i="6"/>
  <c r="GU12" i="6"/>
  <c r="GT12" i="6"/>
  <c r="GS12" i="6"/>
  <c r="GR12" i="6"/>
  <c r="GQ12" i="6"/>
  <c r="GP12" i="6"/>
  <c r="GO12" i="6"/>
  <c r="GN12" i="6"/>
  <c r="GM12" i="6"/>
  <c r="GL12" i="6"/>
  <c r="GK12" i="6"/>
  <c r="GJ12" i="6"/>
  <c r="GI12" i="6"/>
  <c r="GH12" i="6"/>
  <c r="GG12" i="6"/>
  <c r="GF12" i="6"/>
  <c r="GE12" i="6"/>
  <c r="GD12" i="6"/>
  <c r="GC12" i="6"/>
  <c r="GB12" i="6"/>
  <c r="GA12" i="6"/>
  <c r="FZ12" i="6"/>
  <c r="FY12" i="6"/>
  <c r="FX12" i="6"/>
  <c r="FW12" i="6"/>
  <c r="FV12" i="6"/>
  <c r="FU12" i="6"/>
  <c r="FT12" i="6"/>
  <c r="FS12" i="6"/>
  <c r="FR12" i="6"/>
  <c r="FQ12" i="6"/>
  <c r="FP12" i="6"/>
  <c r="FO12" i="6"/>
  <c r="FN12" i="6"/>
  <c r="FM12" i="6"/>
  <c r="FL12" i="6"/>
  <c r="FK12" i="6"/>
  <c r="FJ12" i="6"/>
  <c r="FI12" i="6"/>
  <c r="FH12" i="6"/>
  <c r="FG12" i="6"/>
  <c r="FF12" i="6"/>
  <c r="FE12" i="6"/>
  <c r="FD12" i="6"/>
  <c r="FC12" i="6"/>
  <c r="FB12" i="6"/>
  <c r="FA12" i="6"/>
  <c r="EZ12" i="6"/>
  <c r="EY12" i="6"/>
  <c r="EX12" i="6"/>
  <c r="EW12" i="6"/>
  <c r="EV12" i="6"/>
  <c r="EU12" i="6"/>
  <c r="ET12" i="6"/>
  <c r="ES12" i="6"/>
  <c r="ER12" i="6"/>
  <c r="EQ12" i="6"/>
  <c r="EP12" i="6"/>
  <c r="EO12" i="6"/>
  <c r="EN12" i="6"/>
  <c r="EM12" i="6"/>
  <c r="EL12" i="6"/>
  <c r="EK12" i="6"/>
  <c r="EJ12" i="6"/>
  <c r="EI12" i="6"/>
  <c r="EH12" i="6"/>
  <c r="EG12" i="6"/>
  <c r="EF12" i="6"/>
  <c r="EE12" i="6"/>
  <c r="ED12" i="6"/>
  <c r="EC12" i="6"/>
  <c r="EB12" i="6"/>
  <c r="EA12" i="6"/>
  <c r="DZ12" i="6"/>
  <c r="DY12" i="6"/>
  <c r="DX12" i="6"/>
  <c r="DW12" i="6"/>
  <c r="DV12" i="6"/>
  <c r="DU12" i="6"/>
  <c r="DT12" i="6"/>
  <c r="DS12" i="6"/>
  <c r="DR12" i="6"/>
  <c r="DQ12" i="6"/>
  <c r="DP12" i="6"/>
  <c r="DO12" i="6"/>
  <c r="DN12" i="6"/>
  <c r="DM12" i="6"/>
  <c r="DL12" i="6"/>
  <c r="DK12" i="6"/>
  <c r="DJ12" i="6"/>
  <c r="DI12" i="6"/>
  <c r="DH12" i="6"/>
  <c r="DG12" i="6"/>
  <c r="DF12" i="6"/>
  <c r="DE12" i="6"/>
  <c r="DD12" i="6"/>
  <c r="DC12" i="6"/>
  <c r="DB12" i="6"/>
  <c r="DA12" i="6"/>
  <c r="CZ12" i="6"/>
  <c r="CY12" i="6"/>
  <c r="CX12" i="6"/>
  <c r="CW12" i="6"/>
  <c r="CV12" i="6"/>
  <c r="CU12" i="6"/>
  <c r="CT12" i="6"/>
  <c r="CS12" i="6"/>
  <c r="CR12" i="6"/>
  <c r="CQ12" i="6"/>
  <c r="CP12" i="6"/>
  <c r="CO12" i="6"/>
  <c r="CN12" i="6"/>
  <c r="CM12" i="6"/>
  <c r="CL12" i="6"/>
  <c r="CK12" i="6"/>
  <c r="CJ12" i="6"/>
  <c r="CI12" i="6"/>
  <c r="CH12" i="6"/>
  <c r="CG12" i="6"/>
  <c r="CF12" i="6"/>
  <c r="CE12" i="6"/>
  <c r="CD12" i="6"/>
  <c r="CC12" i="6"/>
  <c r="CB12" i="6"/>
  <c r="CA12" i="6"/>
  <c r="BZ12" i="6"/>
  <c r="BY12" i="6"/>
  <c r="BX12" i="6"/>
  <c r="BW12" i="6"/>
  <c r="BV12" i="6"/>
  <c r="BU12" i="6"/>
  <c r="BT12" i="6"/>
  <c r="BS12" i="6"/>
  <c r="BR12" i="6"/>
  <c r="BQ12" i="6"/>
  <c r="BP12" i="6"/>
  <c r="BO12" i="6"/>
  <c r="BN12" i="6"/>
  <c r="BM12" i="6"/>
  <c r="BL12" i="6"/>
  <c r="BK12" i="6"/>
  <c r="BJ12" i="6"/>
  <c r="BI12" i="6"/>
  <c r="BH12" i="6"/>
  <c r="BG12" i="6"/>
  <c r="BF12" i="6"/>
  <c r="BE12" i="6"/>
  <c r="BD12" i="6"/>
  <c r="BC12" i="6"/>
  <c r="BB12" i="6"/>
  <c r="BA12" i="6"/>
  <c r="AZ12" i="6"/>
  <c r="AY12" i="6"/>
  <c r="AX12" i="6"/>
  <c r="AW12" i="6"/>
  <c r="AV12" i="6"/>
  <c r="AU12" i="6"/>
  <c r="AT12" i="6"/>
  <c r="AS12" i="6"/>
  <c r="AR12" i="6"/>
  <c r="AQ12" i="6"/>
  <c r="AP12" i="6"/>
  <c r="AO12" i="6"/>
  <c r="AN12" i="6"/>
  <c r="AM12" i="6"/>
  <c r="AL12" i="6"/>
  <c r="AK12" i="6"/>
  <c r="AJ12" i="6"/>
  <c r="AI12" i="6"/>
  <c r="AH12" i="6"/>
  <c r="AG12" i="6"/>
  <c r="AF12" i="6"/>
  <c r="AE12" i="6"/>
  <c r="AD12" i="6"/>
  <c r="AC12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A12" i="6"/>
  <c r="IV11" i="6"/>
  <c r="IU11" i="6"/>
  <c r="IT11" i="6"/>
  <c r="IS11" i="6"/>
  <c r="IR11" i="6"/>
  <c r="IQ11" i="6"/>
  <c r="IP11" i="6"/>
  <c r="IO11" i="6"/>
  <c r="IN11" i="6"/>
  <c r="IM11" i="6"/>
  <c r="IL11" i="6"/>
  <c r="IK11" i="6"/>
  <c r="IJ11" i="6"/>
  <c r="II11" i="6"/>
  <c r="IH11" i="6"/>
  <c r="IG11" i="6"/>
  <c r="IF11" i="6"/>
  <c r="IE11" i="6"/>
  <c r="ID11" i="6"/>
  <c r="IC11" i="6"/>
  <c r="IB11" i="6"/>
  <c r="IA11" i="6"/>
  <c r="HZ11" i="6"/>
  <c r="HY11" i="6"/>
  <c r="HX11" i="6"/>
  <c r="HW11" i="6"/>
  <c r="HV11" i="6"/>
  <c r="HU11" i="6"/>
  <c r="HT11" i="6"/>
  <c r="HS11" i="6"/>
  <c r="HR11" i="6"/>
  <c r="HQ11" i="6"/>
  <c r="HP11" i="6"/>
  <c r="HO11" i="6"/>
  <c r="HN11" i="6"/>
  <c r="HM11" i="6"/>
  <c r="HL11" i="6"/>
  <c r="HK11" i="6"/>
  <c r="HJ11" i="6"/>
  <c r="HI11" i="6"/>
  <c r="HH11" i="6"/>
  <c r="HG11" i="6"/>
  <c r="HF11" i="6"/>
  <c r="HE11" i="6"/>
  <c r="HD11" i="6"/>
  <c r="HC11" i="6"/>
  <c r="HB11" i="6"/>
  <c r="HA11" i="6"/>
  <c r="GZ11" i="6"/>
  <c r="GY11" i="6"/>
  <c r="GX11" i="6"/>
  <c r="GW11" i="6"/>
  <c r="GV11" i="6"/>
  <c r="GU11" i="6"/>
  <c r="GT11" i="6"/>
  <c r="GS11" i="6"/>
  <c r="GR11" i="6"/>
  <c r="GQ11" i="6"/>
  <c r="GP11" i="6"/>
  <c r="GO11" i="6"/>
  <c r="GN11" i="6"/>
  <c r="GM11" i="6"/>
  <c r="GL11" i="6"/>
  <c r="GK11" i="6"/>
  <c r="GJ11" i="6"/>
  <c r="GI11" i="6"/>
  <c r="GH11" i="6"/>
  <c r="GG11" i="6"/>
  <c r="GF11" i="6"/>
  <c r="GE11" i="6"/>
  <c r="GD11" i="6"/>
  <c r="GC11" i="6"/>
  <c r="GB11" i="6"/>
  <c r="GA11" i="6"/>
  <c r="FZ11" i="6"/>
  <c r="FY11" i="6"/>
  <c r="FX11" i="6"/>
  <c r="FW11" i="6"/>
  <c r="FV11" i="6"/>
  <c r="FU11" i="6"/>
  <c r="FT11" i="6"/>
  <c r="FS11" i="6"/>
  <c r="FR11" i="6"/>
  <c r="FQ11" i="6"/>
  <c r="FP11" i="6"/>
  <c r="FO11" i="6"/>
  <c r="FN11" i="6"/>
  <c r="FM11" i="6"/>
  <c r="FL11" i="6"/>
  <c r="FK11" i="6"/>
  <c r="FJ11" i="6"/>
  <c r="FI11" i="6"/>
  <c r="FH11" i="6"/>
  <c r="FG11" i="6"/>
  <c r="FF11" i="6"/>
  <c r="FE11" i="6"/>
  <c r="FD11" i="6"/>
  <c r="FC11" i="6"/>
  <c r="FB11" i="6"/>
  <c r="FA11" i="6"/>
  <c r="EZ11" i="6"/>
  <c r="EY11" i="6"/>
  <c r="EX11" i="6"/>
  <c r="EW11" i="6"/>
  <c r="EV11" i="6"/>
  <c r="EU11" i="6"/>
  <c r="ET11" i="6"/>
  <c r="ES11" i="6"/>
  <c r="ER11" i="6"/>
  <c r="EQ11" i="6"/>
  <c r="EP11" i="6"/>
  <c r="EO11" i="6"/>
  <c r="EN11" i="6"/>
  <c r="EM11" i="6"/>
  <c r="EL11" i="6"/>
  <c r="EK11" i="6"/>
  <c r="EJ11" i="6"/>
  <c r="EI11" i="6"/>
  <c r="EH11" i="6"/>
  <c r="EG11" i="6"/>
  <c r="EF11" i="6"/>
  <c r="EE11" i="6"/>
  <c r="ED11" i="6"/>
  <c r="EC11" i="6"/>
  <c r="EB11" i="6"/>
  <c r="EA11" i="6"/>
  <c r="DZ11" i="6"/>
  <c r="DY11" i="6"/>
  <c r="DX11" i="6"/>
  <c r="DW11" i="6"/>
  <c r="DV11" i="6"/>
  <c r="DU11" i="6"/>
  <c r="DT11" i="6"/>
  <c r="DS11" i="6"/>
  <c r="DR11" i="6"/>
  <c r="DQ11" i="6"/>
  <c r="DP11" i="6"/>
  <c r="DO11" i="6"/>
  <c r="DN11" i="6"/>
  <c r="DM11" i="6"/>
  <c r="DL11" i="6"/>
  <c r="DK11" i="6"/>
  <c r="DJ11" i="6"/>
  <c r="DI11" i="6"/>
  <c r="DH11" i="6"/>
  <c r="DG11" i="6"/>
  <c r="DF11" i="6"/>
  <c r="DE11" i="6"/>
  <c r="DD11" i="6"/>
  <c r="DC11" i="6"/>
  <c r="DB11" i="6"/>
  <c r="DA11" i="6"/>
  <c r="CZ11" i="6"/>
  <c r="CY11" i="6"/>
  <c r="CX11" i="6"/>
  <c r="CW11" i="6"/>
  <c r="CV11" i="6"/>
  <c r="CU11" i="6"/>
  <c r="CT11" i="6"/>
  <c r="CS11" i="6"/>
  <c r="CR11" i="6"/>
  <c r="CQ11" i="6"/>
  <c r="CP11" i="6"/>
  <c r="CO11" i="6"/>
  <c r="CN11" i="6"/>
  <c r="CM11" i="6"/>
  <c r="CL11" i="6"/>
  <c r="CK11" i="6"/>
  <c r="CJ11" i="6"/>
  <c r="CI11" i="6"/>
  <c r="CH11" i="6"/>
  <c r="CG11" i="6"/>
  <c r="CF11" i="6"/>
  <c r="CE11" i="6"/>
  <c r="CD11" i="6"/>
  <c r="CC11" i="6"/>
  <c r="CB11" i="6"/>
  <c r="CA11" i="6"/>
  <c r="BZ11" i="6"/>
  <c r="BY11" i="6"/>
  <c r="BX11" i="6"/>
  <c r="BW11" i="6"/>
  <c r="BV11" i="6"/>
  <c r="BU11" i="6"/>
  <c r="BT11" i="6"/>
  <c r="BS11" i="6"/>
  <c r="BR11" i="6"/>
  <c r="BQ11" i="6"/>
  <c r="BP11" i="6"/>
  <c r="BO11" i="6"/>
  <c r="BN11" i="6"/>
  <c r="BM11" i="6"/>
  <c r="BL11" i="6"/>
  <c r="BK11" i="6"/>
  <c r="BJ11" i="6"/>
  <c r="BI11" i="6"/>
  <c r="BH11" i="6"/>
  <c r="BG11" i="6"/>
  <c r="BF11" i="6"/>
  <c r="BE11" i="6"/>
  <c r="BD11" i="6"/>
  <c r="BC11" i="6"/>
  <c r="BB11" i="6"/>
  <c r="BA11" i="6"/>
  <c r="AZ11" i="6"/>
  <c r="AY11" i="6"/>
  <c r="AX11" i="6"/>
  <c r="AW11" i="6"/>
  <c r="AV11" i="6"/>
  <c r="AU11" i="6"/>
  <c r="AT11" i="6"/>
  <c r="AS11" i="6"/>
  <c r="AR11" i="6"/>
  <c r="AQ11" i="6"/>
  <c r="AP11" i="6"/>
  <c r="AO11" i="6"/>
  <c r="AN11" i="6"/>
  <c r="AM11" i="6"/>
  <c r="AL11" i="6"/>
  <c r="AK11" i="6"/>
  <c r="AJ11" i="6"/>
  <c r="AI11" i="6"/>
  <c r="AH11" i="6"/>
  <c r="AG11" i="6"/>
  <c r="AF11" i="6"/>
  <c r="AE11" i="6"/>
  <c r="AD11" i="6"/>
  <c r="AC11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A11" i="6"/>
  <c r="IV10" i="6"/>
  <c r="IU10" i="6"/>
  <c r="IT10" i="6"/>
  <c r="IS10" i="6"/>
  <c r="IR10" i="6"/>
  <c r="IQ10" i="6"/>
  <c r="IP10" i="6"/>
  <c r="IO10" i="6"/>
  <c r="IN10" i="6"/>
  <c r="IM10" i="6"/>
  <c r="IL10" i="6"/>
  <c r="IK10" i="6"/>
  <c r="IJ10" i="6"/>
  <c r="II10" i="6"/>
  <c r="IH10" i="6"/>
  <c r="IG10" i="6"/>
  <c r="IF10" i="6"/>
  <c r="IE10" i="6"/>
  <c r="ID10" i="6"/>
  <c r="IC10" i="6"/>
  <c r="IB10" i="6"/>
  <c r="IA10" i="6"/>
  <c r="HZ10" i="6"/>
  <c r="HY10" i="6"/>
  <c r="HX10" i="6"/>
  <c r="HW10" i="6"/>
  <c r="HV10" i="6"/>
  <c r="HU10" i="6"/>
  <c r="HT10" i="6"/>
  <c r="HS10" i="6"/>
  <c r="HR10" i="6"/>
  <c r="HQ10" i="6"/>
  <c r="HP10" i="6"/>
  <c r="HO10" i="6"/>
  <c r="HN10" i="6"/>
  <c r="HM10" i="6"/>
  <c r="HL10" i="6"/>
  <c r="HK10" i="6"/>
  <c r="HJ10" i="6"/>
  <c r="HI10" i="6"/>
  <c r="HH10" i="6"/>
  <c r="HG10" i="6"/>
  <c r="HF10" i="6"/>
  <c r="HE10" i="6"/>
  <c r="HD10" i="6"/>
  <c r="HC10" i="6"/>
  <c r="HB10" i="6"/>
  <c r="HA10" i="6"/>
  <c r="GZ10" i="6"/>
  <c r="GY10" i="6"/>
  <c r="GX10" i="6"/>
  <c r="GW10" i="6"/>
  <c r="GV10" i="6"/>
  <c r="GU10" i="6"/>
  <c r="GT10" i="6"/>
  <c r="GS10" i="6"/>
  <c r="GR10" i="6"/>
  <c r="GQ10" i="6"/>
  <c r="GP10" i="6"/>
  <c r="GO10" i="6"/>
  <c r="GN10" i="6"/>
  <c r="GM10" i="6"/>
  <c r="GL10" i="6"/>
  <c r="GK10" i="6"/>
  <c r="GJ10" i="6"/>
  <c r="GI10" i="6"/>
  <c r="GH10" i="6"/>
  <c r="GG10" i="6"/>
  <c r="GF10" i="6"/>
  <c r="GE10" i="6"/>
  <c r="GD10" i="6"/>
  <c r="GC10" i="6"/>
  <c r="GB10" i="6"/>
  <c r="GA10" i="6"/>
  <c r="FZ10" i="6"/>
  <c r="FY10" i="6"/>
  <c r="FX10" i="6"/>
  <c r="FW10" i="6"/>
  <c r="FV10" i="6"/>
  <c r="FU10" i="6"/>
  <c r="FT10" i="6"/>
  <c r="FS10" i="6"/>
  <c r="FR10" i="6"/>
  <c r="FQ10" i="6"/>
  <c r="FP10" i="6"/>
  <c r="FO10" i="6"/>
  <c r="FN10" i="6"/>
  <c r="FM10" i="6"/>
  <c r="FL10" i="6"/>
  <c r="FK10" i="6"/>
  <c r="FJ10" i="6"/>
  <c r="FI10" i="6"/>
  <c r="FH10" i="6"/>
  <c r="FG10" i="6"/>
  <c r="FF10" i="6"/>
  <c r="FE10" i="6"/>
  <c r="FD10" i="6"/>
  <c r="FC10" i="6"/>
  <c r="FB10" i="6"/>
  <c r="FA10" i="6"/>
  <c r="EZ10" i="6"/>
  <c r="EY10" i="6"/>
  <c r="EX10" i="6"/>
  <c r="EW10" i="6"/>
  <c r="EV10" i="6"/>
  <c r="EU10" i="6"/>
  <c r="ET10" i="6"/>
  <c r="ES10" i="6"/>
  <c r="ER10" i="6"/>
  <c r="EQ10" i="6"/>
  <c r="EP10" i="6"/>
  <c r="EO10" i="6"/>
  <c r="EN10" i="6"/>
  <c r="EM10" i="6"/>
  <c r="EL10" i="6"/>
  <c r="EK10" i="6"/>
  <c r="EJ10" i="6"/>
  <c r="EI10" i="6"/>
  <c r="EH10" i="6"/>
  <c r="EG10" i="6"/>
  <c r="EF10" i="6"/>
  <c r="EE10" i="6"/>
  <c r="ED10" i="6"/>
  <c r="EC10" i="6"/>
  <c r="EB10" i="6"/>
  <c r="EA10" i="6"/>
  <c r="DZ10" i="6"/>
  <c r="DY10" i="6"/>
  <c r="DX10" i="6"/>
  <c r="DW10" i="6"/>
  <c r="DV10" i="6"/>
  <c r="DU10" i="6"/>
  <c r="DT10" i="6"/>
  <c r="DS10" i="6"/>
  <c r="DR10" i="6"/>
  <c r="DQ10" i="6"/>
  <c r="DP10" i="6"/>
  <c r="DO10" i="6"/>
  <c r="DN10" i="6"/>
  <c r="DM10" i="6"/>
  <c r="DL10" i="6"/>
  <c r="DK10" i="6"/>
  <c r="DJ10" i="6"/>
  <c r="DI10" i="6"/>
  <c r="DH10" i="6"/>
  <c r="DG10" i="6"/>
  <c r="DF10" i="6"/>
  <c r="DE10" i="6"/>
  <c r="DD10" i="6"/>
  <c r="DC10" i="6"/>
  <c r="DB10" i="6"/>
  <c r="DA10" i="6"/>
  <c r="CZ10" i="6"/>
  <c r="CY10" i="6"/>
  <c r="CX10" i="6"/>
  <c r="CW10" i="6"/>
  <c r="CV10" i="6"/>
  <c r="CU10" i="6"/>
  <c r="CT10" i="6"/>
  <c r="CS10" i="6"/>
  <c r="CR10" i="6"/>
  <c r="CQ10" i="6"/>
  <c r="CP10" i="6"/>
  <c r="CO10" i="6"/>
  <c r="CN10" i="6"/>
  <c r="CM10" i="6"/>
  <c r="CL10" i="6"/>
  <c r="CK10" i="6"/>
  <c r="CJ10" i="6"/>
  <c r="CI10" i="6"/>
  <c r="CH10" i="6"/>
  <c r="CG10" i="6"/>
  <c r="CF10" i="6"/>
  <c r="CE10" i="6"/>
  <c r="CD10" i="6"/>
  <c r="CC10" i="6"/>
  <c r="CB10" i="6"/>
  <c r="CA10" i="6"/>
  <c r="BZ10" i="6"/>
  <c r="BY10" i="6"/>
  <c r="BX10" i="6"/>
  <c r="BW10" i="6"/>
  <c r="BV10" i="6"/>
  <c r="BU10" i="6"/>
  <c r="BT10" i="6"/>
  <c r="BS10" i="6"/>
  <c r="BR10" i="6"/>
  <c r="BQ10" i="6"/>
  <c r="BP10" i="6"/>
  <c r="BO10" i="6"/>
  <c r="BN10" i="6"/>
  <c r="BM10" i="6"/>
  <c r="BL10" i="6"/>
  <c r="BK10" i="6"/>
  <c r="BJ10" i="6"/>
  <c r="BI10" i="6"/>
  <c r="BH10" i="6"/>
  <c r="BG10" i="6"/>
  <c r="BF10" i="6"/>
  <c r="BE10" i="6"/>
  <c r="BD10" i="6"/>
  <c r="BC10" i="6"/>
  <c r="BB10" i="6"/>
  <c r="BA10" i="6"/>
  <c r="AZ10" i="6"/>
  <c r="AY10" i="6"/>
  <c r="AX10" i="6"/>
  <c r="AW10" i="6"/>
  <c r="AV10" i="6"/>
  <c r="AU10" i="6"/>
  <c r="AT10" i="6"/>
  <c r="AS10" i="6"/>
  <c r="AR10" i="6"/>
  <c r="AQ10" i="6"/>
  <c r="AP10" i="6"/>
  <c r="AO10" i="6"/>
  <c r="AN10" i="6"/>
  <c r="AM10" i="6"/>
  <c r="AL10" i="6"/>
  <c r="AK10" i="6"/>
  <c r="AJ10" i="6"/>
  <c r="AI10" i="6"/>
  <c r="AH10" i="6"/>
  <c r="AG10" i="6"/>
  <c r="AF10" i="6"/>
  <c r="AE10" i="6"/>
  <c r="AD10" i="6"/>
  <c r="AC10" i="6"/>
  <c r="AB10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A10" i="6"/>
  <c r="IV9" i="6"/>
  <c r="IU9" i="6"/>
  <c r="IT9" i="6"/>
  <c r="IS9" i="6"/>
  <c r="IR9" i="6"/>
  <c r="IQ9" i="6"/>
  <c r="IP9" i="6"/>
  <c r="IO9" i="6"/>
  <c r="IN9" i="6"/>
  <c r="IM9" i="6"/>
  <c r="IL9" i="6"/>
  <c r="IK9" i="6"/>
  <c r="IJ9" i="6"/>
  <c r="II9" i="6"/>
  <c r="IH9" i="6"/>
  <c r="IG9" i="6"/>
  <c r="IF9" i="6"/>
  <c r="IE9" i="6"/>
  <c r="ID9" i="6"/>
  <c r="IC9" i="6"/>
  <c r="IB9" i="6"/>
  <c r="IA9" i="6"/>
  <c r="HZ9" i="6"/>
  <c r="HY9" i="6"/>
  <c r="HX9" i="6"/>
  <c r="HW9" i="6"/>
  <c r="HV9" i="6"/>
  <c r="HU9" i="6"/>
  <c r="HT9" i="6"/>
  <c r="HS9" i="6"/>
  <c r="HR9" i="6"/>
  <c r="HQ9" i="6"/>
  <c r="HP9" i="6"/>
  <c r="HO9" i="6"/>
  <c r="HN9" i="6"/>
  <c r="HM9" i="6"/>
  <c r="HL9" i="6"/>
  <c r="HK9" i="6"/>
  <c r="HJ9" i="6"/>
  <c r="HI9" i="6"/>
  <c r="HH9" i="6"/>
  <c r="HG9" i="6"/>
  <c r="HF9" i="6"/>
  <c r="HE9" i="6"/>
  <c r="HD9" i="6"/>
  <c r="HC9" i="6"/>
  <c r="HB9" i="6"/>
  <c r="HA9" i="6"/>
  <c r="GZ9" i="6"/>
  <c r="GY9" i="6"/>
  <c r="GX9" i="6"/>
  <c r="GW9" i="6"/>
  <c r="GV9" i="6"/>
  <c r="GU9" i="6"/>
  <c r="GT9" i="6"/>
  <c r="GS9" i="6"/>
  <c r="GR9" i="6"/>
  <c r="GQ9" i="6"/>
  <c r="GP9" i="6"/>
  <c r="GO9" i="6"/>
  <c r="GN9" i="6"/>
  <c r="GM9" i="6"/>
  <c r="GL9" i="6"/>
  <c r="GK9" i="6"/>
  <c r="GJ9" i="6"/>
  <c r="GI9" i="6"/>
  <c r="GH9" i="6"/>
  <c r="GG9" i="6"/>
  <c r="GF9" i="6"/>
  <c r="GE9" i="6"/>
  <c r="GD9" i="6"/>
  <c r="GC9" i="6"/>
  <c r="GB9" i="6"/>
  <c r="GA9" i="6"/>
  <c r="FZ9" i="6"/>
  <c r="FY9" i="6"/>
  <c r="FX9" i="6"/>
  <c r="FW9" i="6"/>
  <c r="FV9" i="6"/>
  <c r="FU9" i="6"/>
  <c r="FT9" i="6"/>
  <c r="FS9" i="6"/>
  <c r="FR9" i="6"/>
  <c r="FQ9" i="6"/>
  <c r="FP9" i="6"/>
  <c r="FO9" i="6"/>
  <c r="FN9" i="6"/>
  <c r="FM9" i="6"/>
  <c r="FL9" i="6"/>
  <c r="FK9" i="6"/>
  <c r="FJ9" i="6"/>
  <c r="FI9" i="6"/>
  <c r="FH9" i="6"/>
  <c r="FG9" i="6"/>
  <c r="FF9" i="6"/>
  <c r="FE9" i="6"/>
  <c r="FD9" i="6"/>
  <c r="FC9" i="6"/>
  <c r="FB9" i="6"/>
  <c r="FA9" i="6"/>
  <c r="EZ9" i="6"/>
  <c r="EY9" i="6"/>
  <c r="EX9" i="6"/>
  <c r="EW9" i="6"/>
  <c r="EV9" i="6"/>
  <c r="EU9" i="6"/>
  <c r="ET9" i="6"/>
  <c r="ES9" i="6"/>
  <c r="ER9" i="6"/>
  <c r="EQ9" i="6"/>
  <c r="EP9" i="6"/>
  <c r="EO9" i="6"/>
  <c r="EN9" i="6"/>
  <c r="EM9" i="6"/>
  <c r="EL9" i="6"/>
  <c r="EK9" i="6"/>
  <c r="EJ9" i="6"/>
  <c r="EI9" i="6"/>
  <c r="EH9" i="6"/>
  <c r="EG9" i="6"/>
  <c r="EF9" i="6"/>
  <c r="EE9" i="6"/>
  <c r="ED9" i="6"/>
  <c r="EC9" i="6"/>
  <c r="EB9" i="6"/>
  <c r="EA9" i="6"/>
  <c r="DZ9" i="6"/>
  <c r="DY9" i="6"/>
  <c r="DX9" i="6"/>
  <c r="DW9" i="6"/>
  <c r="DV9" i="6"/>
  <c r="DU9" i="6"/>
  <c r="DT9" i="6"/>
  <c r="DS9" i="6"/>
  <c r="DR9" i="6"/>
  <c r="DQ9" i="6"/>
  <c r="DP9" i="6"/>
  <c r="DO9" i="6"/>
  <c r="DN9" i="6"/>
  <c r="DM9" i="6"/>
  <c r="DL9" i="6"/>
  <c r="DK9" i="6"/>
  <c r="DJ9" i="6"/>
  <c r="DI9" i="6"/>
  <c r="DH9" i="6"/>
  <c r="DG9" i="6"/>
  <c r="DF9" i="6"/>
  <c r="DE9" i="6"/>
  <c r="DD9" i="6"/>
  <c r="DC9" i="6"/>
  <c r="DB9" i="6"/>
  <c r="DA9" i="6"/>
  <c r="CZ9" i="6"/>
  <c r="CY9" i="6"/>
  <c r="CX9" i="6"/>
  <c r="CW9" i="6"/>
  <c r="CV9" i="6"/>
  <c r="CU9" i="6"/>
  <c r="CT9" i="6"/>
  <c r="CS9" i="6"/>
  <c r="CR9" i="6"/>
  <c r="CQ9" i="6"/>
  <c r="CP9" i="6"/>
  <c r="CO9" i="6"/>
  <c r="CN9" i="6"/>
  <c r="CM9" i="6"/>
  <c r="CL9" i="6"/>
  <c r="CK9" i="6"/>
  <c r="CJ9" i="6"/>
  <c r="CI9" i="6"/>
  <c r="CH9" i="6"/>
  <c r="CG9" i="6"/>
  <c r="CF9" i="6"/>
  <c r="CE9" i="6"/>
  <c r="CD9" i="6"/>
  <c r="CC9" i="6"/>
  <c r="CB9" i="6"/>
  <c r="CA9" i="6"/>
  <c r="BZ9" i="6"/>
  <c r="BY9" i="6"/>
  <c r="BX9" i="6"/>
  <c r="BW9" i="6"/>
  <c r="BV9" i="6"/>
  <c r="BU9" i="6"/>
  <c r="BT9" i="6"/>
  <c r="BS9" i="6"/>
  <c r="BR9" i="6"/>
  <c r="BQ9" i="6"/>
  <c r="BP9" i="6"/>
  <c r="BO9" i="6"/>
  <c r="BN9" i="6"/>
  <c r="BM9" i="6"/>
  <c r="BL9" i="6"/>
  <c r="BK9" i="6"/>
  <c r="BJ9" i="6"/>
  <c r="BI9" i="6"/>
  <c r="BH9" i="6"/>
  <c r="BG9" i="6"/>
  <c r="BF9" i="6"/>
  <c r="BE9" i="6"/>
  <c r="BD9" i="6"/>
  <c r="BC9" i="6"/>
  <c r="BB9" i="6"/>
  <c r="BA9" i="6"/>
  <c r="AZ9" i="6"/>
  <c r="AY9" i="6"/>
  <c r="AX9" i="6"/>
  <c r="AW9" i="6"/>
  <c r="AV9" i="6"/>
  <c r="AU9" i="6"/>
  <c r="AT9" i="6"/>
  <c r="AS9" i="6"/>
  <c r="AR9" i="6"/>
  <c r="AQ9" i="6"/>
  <c r="AP9" i="6"/>
  <c r="AO9" i="6"/>
  <c r="AN9" i="6"/>
  <c r="AM9" i="6"/>
  <c r="AL9" i="6"/>
  <c r="AK9" i="6"/>
  <c r="AJ9" i="6"/>
  <c r="AI9" i="6"/>
  <c r="AH9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B9" i="6"/>
  <c r="A9" i="6"/>
  <c r="IV8" i="6"/>
  <c r="IU8" i="6"/>
  <c r="IT8" i="6"/>
  <c r="IS8" i="6"/>
  <c r="IR8" i="6"/>
  <c r="IQ8" i="6"/>
  <c r="IP8" i="6"/>
  <c r="IO8" i="6"/>
  <c r="IN8" i="6"/>
  <c r="IM8" i="6"/>
  <c r="IL8" i="6"/>
  <c r="IK8" i="6"/>
  <c r="IJ8" i="6"/>
  <c r="II8" i="6"/>
  <c r="IH8" i="6"/>
  <c r="IG8" i="6"/>
  <c r="IF8" i="6"/>
  <c r="IE8" i="6"/>
  <c r="ID8" i="6"/>
  <c r="IC8" i="6"/>
  <c r="IB8" i="6"/>
  <c r="IA8" i="6"/>
  <c r="HZ8" i="6"/>
  <c r="HY8" i="6"/>
  <c r="HX8" i="6"/>
  <c r="HW8" i="6"/>
  <c r="HV8" i="6"/>
  <c r="HU8" i="6"/>
  <c r="HT8" i="6"/>
  <c r="HS8" i="6"/>
  <c r="HR8" i="6"/>
  <c r="HQ8" i="6"/>
  <c r="HP8" i="6"/>
  <c r="HO8" i="6"/>
  <c r="HN8" i="6"/>
  <c r="HM8" i="6"/>
  <c r="HL8" i="6"/>
  <c r="HK8" i="6"/>
  <c r="HJ8" i="6"/>
  <c r="HI8" i="6"/>
  <c r="HH8" i="6"/>
  <c r="HG8" i="6"/>
  <c r="HF8" i="6"/>
  <c r="HE8" i="6"/>
  <c r="HD8" i="6"/>
  <c r="HC8" i="6"/>
  <c r="HB8" i="6"/>
  <c r="HA8" i="6"/>
  <c r="GZ8" i="6"/>
  <c r="GY8" i="6"/>
  <c r="GX8" i="6"/>
  <c r="GW8" i="6"/>
  <c r="GV8" i="6"/>
  <c r="GU8" i="6"/>
  <c r="GT8" i="6"/>
  <c r="GS8" i="6"/>
  <c r="GR8" i="6"/>
  <c r="GQ8" i="6"/>
  <c r="GP8" i="6"/>
  <c r="GO8" i="6"/>
  <c r="GN8" i="6"/>
  <c r="GM8" i="6"/>
  <c r="GL8" i="6"/>
  <c r="GK8" i="6"/>
  <c r="GJ8" i="6"/>
  <c r="GI8" i="6"/>
  <c r="GH8" i="6"/>
  <c r="GG8" i="6"/>
  <c r="GF8" i="6"/>
  <c r="GE8" i="6"/>
  <c r="GD8" i="6"/>
  <c r="GC8" i="6"/>
  <c r="GB8" i="6"/>
  <c r="GA8" i="6"/>
  <c r="FZ8" i="6"/>
  <c r="FY8" i="6"/>
  <c r="FX8" i="6"/>
  <c r="FW8" i="6"/>
  <c r="FV8" i="6"/>
  <c r="FU8" i="6"/>
  <c r="FT8" i="6"/>
  <c r="FS8" i="6"/>
  <c r="FR8" i="6"/>
  <c r="FQ8" i="6"/>
  <c r="FP8" i="6"/>
  <c r="FO8" i="6"/>
  <c r="FN8" i="6"/>
  <c r="FM8" i="6"/>
  <c r="FL8" i="6"/>
  <c r="FK8" i="6"/>
  <c r="FJ8" i="6"/>
  <c r="FI8" i="6"/>
  <c r="FH8" i="6"/>
  <c r="FG8" i="6"/>
  <c r="FF8" i="6"/>
  <c r="FE8" i="6"/>
  <c r="FD8" i="6"/>
  <c r="FC8" i="6"/>
  <c r="FB8" i="6"/>
  <c r="FA8" i="6"/>
  <c r="EZ8" i="6"/>
  <c r="EY8" i="6"/>
  <c r="EX8" i="6"/>
  <c r="EW8" i="6"/>
  <c r="EV8" i="6"/>
  <c r="EU8" i="6"/>
  <c r="ET8" i="6"/>
  <c r="ES8" i="6"/>
  <c r="ER8" i="6"/>
  <c r="EQ8" i="6"/>
  <c r="EP8" i="6"/>
  <c r="EO8" i="6"/>
  <c r="EN8" i="6"/>
  <c r="EM8" i="6"/>
  <c r="EL8" i="6"/>
  <c r="EK8" i="6"/>
  <c r="EJ8" i="6"/>
  <c r="EI8" i="6"/>
  <c r="EH8" i="6"/>
  <c r="EG8" i="6"/>
  <c r="EF8" i="6"/>
  <c r="EE8" i="6"/>
  <c r="ED8" i="6"/>
  <c r="EC8" i="6"/>
  <c r="EB8" i="6"/>
  <c r="EA8" i="6"/>
  <c r="DZ8" i="6"/>
  <c r="DY8" i="6"/>
  <c r="DX8" i="6"/>
  <c r="DW8" i="6"/>
  <c r="DV8" i="6"/>
  <c r="DU8" i="6"/>
  <c r="DT8" i="6"/>
  <c r="DS8" i="6"/>
  <c r="DR8" i="6"/>
  <c r="DQ8" i="6"/>
  <c r="DP8" i="6"/>
  <c r="DO8" i="6"/>
  <c r="DN8" i="6"/>
  <c r="DM8" i="6"/>
  <c r="DL8" i="6"/>
  <c r="DK8" i="6"/>
  <c r="DJ8" i="6"/>
  <c r="DI8" i="6"/>
  <c r="DH8" i="6"/>
  <c r="DG8" i="6"/>
  <c r="DF8" i="6"/>
  <c r="DE8" i="6"/>
  <c r="DD8" i="6"/>
  <c r="DC8" i="6"/>
  <c r="DB8" i="6"/>
  <c r="DA8" i="6"/>
  <c r="CZ8" i="6"/>
  <c r="CY8" i="6"/>
  <c r="CX8" i="6"/>
  <c r="CW8" i="6"/>
  <c r="CV8" i="6"/>
  <c r="CU8" i="6"/>
  <c r="CT8" i="6"/>
  <c r="CS8" i="6"/>
  <c r="CR8" i="6"/>
  <c r="CQ8" i="6"/>
  <c r="CP8" i="6"/>
  <c r="CO8" i="6"/>
  <c r="CN8" i="6"/>
  <c r="CM8" i="6"/>
  <c r="CL8" i="6"/>
  <c r="CK8" i="6"/>
  <c r="CJ8" i="6"/>
  <c r="CI8" i="6"/>
  <c r="CH8" i="6"/>
  <c r="CG8" i="6"/>
  <c r="CF8" i="6"/>
  <c r="CE8" i="6"/>
  <c r="CD8" i="6"/>
  <c r="CC8" i="6"/>
  <c r="CB8" i="6"/>
  <c r="CA8" i="6"/>
  <c r="BZ8" i="6"/>
  <c r="BY8" i="6"/>
  <c r="BX8" i="6"/>
  <c r="BW8" i="6"/>
  <c r="BV8" i="6"/>
  <c r="BU8" i="6"/>
  <c r="BT8" i="6"/>
  <c r="BS8" i="6"/>
  <c r="BR8" i="6"/>
  <c r="BQ8" i="6"/>
  <c r="BP8" i="6"/>
  <c r="BO8" i="6"/>
  <c r="BN8" i="6"/>
  <c r="BM8" i="6"/>
  <c r="BL8" i="6"/>
  <c r="BK8" i="6"/>
  <c r="BJ8" i="6"/>
  <c r="BI8" i="6"/>
  <c r="BH8" i="6"/>
  <c r="BG8" i="6"/>
  <c r="BF8" i="6"/>
  <c r="BE8" i="6"/>
  <c r="BD8" i="6"/>
  <c r="BC8" i="6"/>
  <c r="BB8" i="6"/>
  <c r="BA8" i="6"/>
  <c r="AZ8" i="6"/>
  <c r="AY8" i="6"/>
  <c r="AX8" i="6"/>
  <c r="AW8" i="6"/>
  <c r="AV8" i="6"/>
  <c r="AU8" i="6"/>
  <c r="AT8" i="6"/>
  <c r="AS8" i="6"/>
  <c r="AR8" i="6"/>
  <c r="AQ8" i="6"/>
  <c r="AP8" i="6"/>
  <c r="AO8" i="6"/>
  <c r="AN8" i="6"/>
  <c r="AM8" i="6"/>
  <c r="AL8" i="6"/>
  <c r="AK8" i="6"/>
  <c r="AJ8" i="6"/>
  <c r="AI8" i="6"/>
  <c r="AH8" i="6"/>
  <c r="AG8" i="6"/>
  <c r="AF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B8" i="6"/>
  <c r="A8" i="6"/>
  <c r="IV7" i="6"/>
  <c r="IU7" i="6"/>
  <c r="IT7" i="6"/>
  <c r="IS7" i="6"/>
  <c r="IR7" i="6"/>
  <c r="IQ7" i="6"/>
  <c r="IP7" i="6"/>
  <c r="IO7" i="6"/>
  <c r="IN7" i="6"/>
  <c r="IM7" i="6"/>
  <c r="IL7" i="6"/>
  <c r="IK7" i="6"/>
  <c r="IJ7" i="6"/>
  <c r="II7" i="6"/>
  <c r="IH7" i="6"/>
  <c r="IG7" i="6"/>
  <c r="IF7" i="6"/>
  <c r="IE7" i="6"/>
  <c r="ID7" i="6"/>
  <c r="IC7" i="6"/>
  <c r="IB7" i="6"/>
  <c r="IA7" i="6"/>
  <c r="HZ7" i="6"/>
  <c r="HY7" i="6"/>
  <c r="HX7" i="6"/>
  <c r="HW7" i="6"/>
  <c r="HV7" i="6"/>
  <c r="HU7" i="6"/>
  <c r="HT7" i="6"/>
  <c r="HS7" i="6"/>
  <c r="HR7" i="6"/>
  <c r="HQ7" i="6"/>
  <c r="HP7" i="6"/>
  <c r="HO7" i="6"/>
  <c r="HN7" i="6"/>
  <c r="HM7" i="6"/>
  <c r="HL7" i="6"/>
  <c r="HK7" i="6"/>
  <c r="HJ7" i="6"/>
  <c r="HI7" i="6"/>
  <c r="HH7" i="6"/>
  <c r="HG7" i="6"/>
  <c r="HF7" i="6"/>
  <c r="HE7" i="6"/>
  <c r="HD7" i="6"/>
  <c r="HC7" i="6"/>
  <c r="HB7" i="6"/>
  <c r="HA7" i="6"/>
  <c r="GZ7" i="6"/>
  <c r="GY7" i="6"/>
  <c r="GX7" i="6"/>
  <c r="GW7" i="6"/>
  <c r="GV7" i="6"/>
  <c r="GU7" i="6"/>
  <c r="GT7" i="6"/>
  <c r="GS7" i="6"/>
  <c r="GR7" i="6"/>
  <c r="GQ7" i="6"/>
  <c r="GP7" i="6"/>
  <c r="GO7" i="6"/>
  <c r="GN7" i="6"/>
  <c r="GM7" i="6"/>
  <c r="GL7" i="6"/>
  <c r="GK7" i="6"/>
  <c r="GJ7" i="6"/>
  <c r="GI7" i="6"/>
  <c r="GH7" i="6"/>
  <c r="GG7" i="6"/>
  <c r="GF7" i="6"/>
  <c r="GE7" i="6"/>
  <c r="GD7" i="6"/>
  <c r="GC7" i="6"/>
  <c r="GB7" i="6"/>
  <c r="GA7" i="6"/>
  <c r="FZ7" i="6"/>
  <c r="FY7" i="6"/>
  <c r="FX7" i="6"/>
  <c r="FW7" i="6"/>
  <c r="FV7" i="6"/>
  <c r="FU7" i="6"/>
  <c r="FT7" i="6"/>
  <c r="FS7" i="6"/>
  <c r="FR7" i="6"/>
  <c r="FQ7" i="6"/>
  <c r="FP7" i="6"/>
  <c r="FO7" i="6"/>
  <c r="FN7" i="6"/>
  <c r="FM7" i="6"/>
  <c r="FL7" i="6"/>
  <c r="FK7" i="6"/>
  <c r="FJ7" i="6"/>
  <c r="FI7" i="6"/>
  <c r="FH7" i="6"/>
  <c r="FG7" i="6"/>
  <c r="FF7" i="6"/>
  <c r="FE7" i="6"/>
  <c r="FD7" i="6"/>
  <c r="FC7" i="6"/>
  <c r="FB7" i="6"/>
  <c r="FA7" i="6"/>
  <c r="EZ7" i="6"/>
  <c r="EY7" i="6"/>
  <c r="EX7" i="6"/>
  <c r="EW7" i="6"/>
  <c r="EV7" i="6"/>
  <c r="EU7" i="6"/>
  <c r="ET7" i="6"/>
  <c r="ES7" i="6"/>
  <c r="ER7" i="6"/>
  <c r="EQ7" i="6"/>
  <c r="EP7" i="6"/>
  <c r="EO7" i="6"/>
  <c r="EN7" i="6"/>
  <c r="EM7" i="6"/>
  <c r="EL7" i="6"/>
  <c r="EK7" i="6"/>
  <c r="EJ7" i="6"/>
  <c r="EI7" i="6"/>
  <c r="EH7" i="6"/>
  <c r="EG7" i="6"/>
  <c r="EF7" i="6"/>
  <c r="EE7" i="6"/>
  <c r="ED7" i="6"/>
  <c r="EC7" i="6"/>
  <c r="EB7" i="6"/>
  <c r="EA7" i="6"/>
  <c r="DZ7" i="6"/>
  <c r="DY7" i="6"/>
  <c r="DX7" i="6"/>
  <c r="DW7" i="6"/>
  <c r="DV7" i="6"/>
  <c r="DU7" i="6"/>
  <c r="DT7" i="6"/>
  <c r="DS7" i="6"/>
  <c r="DR7" i="6"/>
  <c r="DQ7" i="6"/>
  <c r="DP7" i="6"/>
  <c r="DO7" i="6"/>
  <c r="DN7" i="6"/>
  <c r="DM7" i="6"/>
  <c r="DL7" i="6"/>
  <c r="DK7" i="6"/>
  <c r="DJ7" i="6"/>
  <c r="DI7" i="6"/>
  <c r="DH7" i="6"/>
  <c r="DG7" i="6"/>
  <c r="DF7" i="6"/>
  <c r="DE7" i="6"/>
  <c r="DD7" i="6"/>
  <c r="DC7" i="6"/>
  <c r="DB7" i="6"/>
  <c r="DA7" i="6"/>
  <c r="CZ7" i="6"/>
  <c r="CY7" i="6"/>
  <c r="CX7" i="6"/>
  <c r="CW7" i="6"/>
  <c r="CV7" i="6"/>
  <c r="CU7" i="6"/>
  <c r="CT7" i="6"/>
  <c r="CS7" i="6"/>
  <c r="CR7" i="6"/>
  <c r="CQ7" i="6"/>
  <c r="CP7" i="6"/>
  <c r="CO7" i="6"/>
  <c r="CN7" i="6"/>
  <c r="CM7" i="6"/>
  <c r="CL7" i="6"/>
  <c r="CK7" i="6"/>
  <c r="CJ7" i="6"/>
  <c r="CI7" i="6"/>
  <c r="CH7" i="6"/>
  <c r="CG7" i="6"/>
  <c r="CF7" i="6"/>
  <c r="CE7" i="6"/>
  <c r="CD7" i="6"/>
  <c r="CC7" i="6"/>
  <c r="CB7" i="6"/>
  <c r="CA7" i="6"/>
  <c r="BZ7" i="6"/>
  <c r="BY7" i="6"/>
  <c r="BX7" i="6"/>
  <c r="BW7" i="6"/>
  <c r="BV7" i="6"/>
  <c r="BU7" i="6"/>
  <c r="BT7" i="6"/>
  <c r="BS7" i="6"/>
  <c r="BR7" i="6"/>
  <c r="BQ7" i="6"/>
  <c r="BP7" i="6"/>
  <c r="BO7" i="6"/>
  <c r="BN7" i="6"/>
  <c r="BM7" i="6"/>
  <c r="BL7" i="6"/>
  <c r="BK7" i="6"/>
  <c r="BJ7" i="6"/>
  <c r="BI7" i="6"/>
  <c r="BH7" i="6"/>
  <c r="BG7" i="6"/>
  <c r="BF7" i="6"/>
  <c r="BE7" i="6"/>
  <c r="BD7" i="6"/>
  <c r="BC7" i="6"/>
  <c r="BB7" i="6"/>
  <c r="BA7" i="6"/>
  <c r="AZ7" i="6"/>
  <c r="AY7" i="6"/>
  <c r="AX7" i="6"/>
  <c r="AW7" i="6"/>
  <c r="AV7" i="6"/>
  <c r="AU7" i="6"/>
  <c r="AT7" i="6"/>
  <c r="AS7" i="6"/>
  <c r="AR7" i="6"/>
  <c r="AQ7" i="6"/>
  <c r="AP7" i="6"/>
  <c r="AO7" i="6"/>
  <c r="AN7" i="6"/>
  <c r="AM7" i="6"/>
  <c r="AL7" i="6"/>
  <c r="AK7" i="6"/>
  <c r="AJ7" i="6"/>
  <c r="AI7" i="6"/>
  <c r="AH7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B7" i="6"/>
  <c r="A7" i="6"/>
  <c r="IV6" i="6"/>
  <c r="IU6" i="6"/>
  <c r="IT6" i="6"/>
  <c r="IS6" i="6"/>
  <c r="IR6" i="6"/>
  <c r="IQ6" i="6"/>
  <c r="IP6" i="6"/>
  <c r="IO6" i="6"/>
  <c r="IN6" i="6"/>
  <c r="IM6" i="6"/>
  <c r="IL6" i="6"/>
  <c r="IK6" i="6"/>
  <c r="IJ6" i="6"/>
  <c r="II6" i="6"/>
  <c r="IH6" i="6"/>
  <c r="IG6" i="6"/>
  <c r="IF6" i="6"/>
  <c r="IE6" i="6"/>
  <c r="ID6" i="6"/>
  <c r="IC6" i="6"/>
  <c r="IB6" i="6"/>
  <c r="IA6" i="6"/>
  <c r="HZ6" i="6"/>
  <c r="HY6" i="6"/>
  <c r="HX6" i="6"/>
  <c r="HW6" i="6"/>
  <c r="HV6" i="6"/>
  <c r="HU6" i="6"/>
  <c r="HT6" i="6"/>
  <c r="HS6" i="6"/>
  <c r="HR6" i="6"/>
  <c r="HQ6" i="6"/>
  <c r="HP6" i="6"/>
  <c r="HO6" i="6"/>
  <c r="HN6" i="6"/>
  <c r="HM6" i="6"/>
  <c r="HL6" i="6"/>
  <c r="HK6" i="6"/>
  <c r="HJ6" i="6"/>
  <c r="HI6" i="6"/>
  <c r="HH6" i="6"/>
  <c r="HG6" i="6"/>
  <c r="HF6" i="6"/>
  <c r="HE6" i="6"/>
  <c r="HD6" i="6"/>
  <c r="HC6" i="6"/>
  <c r="HB6" i="6"/>
  <c r="HA6" i="6"/>
  <c r="GZ6" i="6"/>
  <c r="GY6" i="6"/>
  <c r="GX6" i="6"/>
  <c r="GW6" i="6"/>
  <c r="GV6" i="6"/>
  <c r="GU6" i="6"/>
  <c r="GT6" i="6"/>
  <c r="GS6" i="6"/>
  <c r="GR6" i="6"/>
  <c r="GQ6" i="6"/>
  <c r="GP6" i="6"/>
  <c r="GO6" i="6"/>
  <c r="GN6" i="6"/>
  <c r="GM6" i="6"/>
  <c r="GL6" i="6"/>
  <c r="GK6" i="6"/>
  <c r="GJ6" i="6"/>
  <c r="GI6" i="6"/>
  <c r="GH6" i="6"/>
  <c r="GG6" i="6"/>
  <c r="GF6" i="6"/>
  <c r="GE6" i="6"/>
  <c r="GD6" i="6"/>
  <c r="GC6" i="6"/>
  <c r="GB6" i="6"/>
  <c r="GA6" i="6"/>
  <c r="FZ6" i="6"/>
  <c r="FY6" i="6"/>
  <c r="FX6" i="6"/>
  <c r="FW6" i="6"/>
  <c r="FV6" i="6"/>
  <c r="FU6" i="6"/>
  <c r="FT6" i="6"/>
  <c r="FS6" i="6"/>
  <c r="FR6" i="6"/>
  <c r="FQ6" i="6"/>
  <c r="FP6" i="6"/>
  <c r="FO6" i="6"/>
  <c r="FN6" i="6"/>
  <c r="FM6" i="6"/>
  <c r="FL6" i="6"/>
  <c r="FK6" i="6"/>
  <c r="FJ6" i="6"/>
  <c r="FI6" i="6"/>
  <c r="FH6" i="6"/>
  <c r="FG6" i="6"/>
  <c r="FF6" i="6"/>
  <c r="FE6" i="6"/>
  <c r="FD6" i="6"/>
  <c r="FC6" i="6"/>
  <c r="FB6" i="6"/>
  <c r="FA6" i="6"/>
  <c r="EZ6" i="6"/>
  <c r="EY6" i="6"/>
  <c r="EX6" i="6"/>
  <c r="EW6" i="6"/>
  <c r="EV6" i="6"/>
  <c r="EU6" i="6"/>
  <c r="ET6" i="6"/>
  <c r="ES6" i="6"/>
  <c r="ER6" i="6"/>
  <c r="EQ6" i="6"/>
  <c r="EP6" i="6"/>
  <c r="EO6" i="6"/>
  <c r="EN6" i="6"/>
  <c r="EM6" i="6"/>
  <c r="EL6" i="6"/>
  <c r="EK6" i="6"/>
  <c r="EJ6" i="6"/>
  <c r="EI6" i="6"/>
  <c r="EH6" i="6"/>
  <c r="EG6" i="6"/>
  <c r="EF6" i="6"/>
  <c r="EE6" i="6"/>
  <c r="ED6" i="6"/>
  <c r="EC6" i="6"/>
  <c r="EB6" i="6"/>
  <c r="EA6" i="6"/>
  <c r="DZ6" i="6"/>
  <c r="DY6" i="6"/>
  <c r="DX6" i="6"/>
  <c r="DW6" i="6"/>
  <c r="DV6" i="6"/>
  <c r="DU6" i="6"/>
  <c r="DT6" i="6"/>
  <c r="DS6" i="6"/>
  <c r="DR6" i="6"/>
  <c r="DQ6" i="6"/>
  <c r="DP6" i="6"/>
  <c r="DO6" i="6"/>
  <c r="DN6" i="6"/>
  <c r="DM6" i="6"/>
  <c r="DL6" i="6"/>
  <c r="DK6" i="6"/>
  <c r="DJ6" i="6"/>
  <c r="DI6" i="6"/>
  <c r="DH6" i="6"/>
  <c r="DG6" i="6"/>
  <c r="DF6" i="6"/>
  <c r="DE6" i="6"/>
  <c r="DD6" i="6"/>
  <c r="DC6" i="6"/>
  <c r="DB6" i="6"/>
  <c r="DA6" i="6"/>
  <c r="CZ6" i="6"/>
  <c r="CY6" i="6"/>
  <c r="CX6" i="6"/>
  <c r="CW6" i="6"/>
  <c r="CV6" i="6"/>
  <c r="CU6" i="6"/>
  <c r="CT6" i="6"/>
  <c r="CS6" i="6"/>
  <c r="CR6" i="6"/>
  <c r="CQ6" i="6"/>
  <c r="CP6" i="6"/>
  <c r="CO6" i="6"/>
  <c r="CN6" i="6"/>
  <c r="CM6" i="6"/>
  <c r="CL6" i="6"/>
  <c r="CK6" i="6"/>
  <c r="CJ6" i="6"/>
  <c r="CI6" i="6"/>
  <c r="CH6" i="6"/>
  <c r="CG6" i="6"/>
  <c r="CF6" i="6"/>
  <c r="CE6" i="6"/>
  <c r="CD6" i="6"/>
  <c r="CC6" i="6"/>
  <c r="CB6" i="6"/>
  <c r="CA6" i="6"/>
  <c r="BZ6" i="6"/>
  <c r="BY6" i="6"/>
  <c r="BX6" i="6"/>
  <c r="BW6" i="6"/>
  <c r="BV6" i="6"/>
  <c r="BU6" i="6"/>
  <c r="BT6" i="6"/>
  <c r="BS6" i="6"/>
  <c r="BR6" i="6"/>
  <c r="BQ6" i="6"/>
  <c r="BP6" i="6"/>
  <c r="BO6" i="6"/>
  <c r="BN6" i="6"/>
  <c r="BM6" i="6"/>
  <c r="BL6" i="6"/>
  <c r="BK6" i="6"/>
  <c r="BJ6" i="6"/>
  <c r="BI6" i="6"/>
  <c r="BH6" i="6"/>
  <c r="BG6" i="6"/>
  <c r="BF6" i="6"/>
  <c r="BE6" i="6"/>
  <c r="BD6" i="6"/>
  <c r="BC6" i="6"/>
  <c r="BB6" i="6"/>
  <c r="BA6" i="6"/>
  <c r="AZ6" i="6"/>
  <c r="AY6" i="6"/>
  <c r="AX6" i="6"/>
  <c r="AW6" i="6"/>
  <c r="AV6" i="6"/>
  <c r="AU6" i="6"/>
  <c r="AT6" i="6"/>
  <c r="AS6" i="6"/>
  <c r="AR6" i="6"/>
  <c r="AQ6" i="6"/>
  <c r="AP6" i="6"/>
  <c r="AO6" i="6"/>
  <c r="AN6" i="6"/>
  <c r="AM6" i="6"/>
  <c r="AL6" i="6"/>
  <c r="AK6" i="6"/>
  <c r="AJ6" i="6"/>
  <c r="AI6" i="6"/>
  <c r="AH6" i="6"/>
  <c r="AG6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B6" i="6"/>
  <c r="A6" i="6"/>
  <c r="IV5" i="6"/>
  <c r="IU5" i="6"/>
  <c r="IT5" i="6"/>
  <c r="IS5" i="6"/>
  <c r="IR5" i="6"/>
  <c r="IQ5" i="6"/>
  <c r="IP5" i="6"/>
  <c r="IO5" i="6"/>
  <c r="IN5" i="6"/>
  <c r="IM5" i="6"/>
  <c r="IL5" i="6"/>
  <c r="IK5" i="6"/>
  <c r="IJ5" i="6"/>
  <c r="II5" i="6"/>
  <c r="IH5" i="6"/>
  <c r="IG5" i="6"/>
  <c r="IF5" i="6"/>
  <c r="IE5" i="6"/>
  <c r="ID5" i="6"/>
  <c r="IC5" i="6"/>
  <c r="IB5" i="6"/>
  <c r="IA5" i="6"/>
  <c r="HZ5" i="6"/>
  <c r="HY5" i="6"/>
  <c r="HX5" i="6"/>
  <c r="HW5" i="6"/>
  <c r="HV5" i="6"/>
  <c r="HU5" i="6"/>
  <c r="HT5" i="6"/>
  <c r="HS5" i="6"/>
  <c r="HR5" i="6"/>
  <c r="HQ5" i="6"/>
  <c r="HP5" i="6"/>
  <c r="HO5" i="6"/>
  <c r="HN5" i="6"/>
  <c r="HM5" i="6"/>
  <c r="HL5" i="6"/>
  <c r="HK5" i="6"/>
  <c r="HJ5" i="6"/>
  <c r="HI5" i="6"/>
  <c r="HH5" i="6"/>
  <c r="HG5" i="6"/>
  <c r="HF5" i="6"/>
  <c r="HE5" i="6"/>
  <c r="HD5" i="6"/>
  <c r="HC5" i="6"/>
  <c r="HB5" i="6"/>
  <c r="HA5" i="6"/>
  <c r="GZ5" i="6"/>
  <c r="GY5" i="6"/>
  <c r="GX5" i="6"/>
  <c r="GW5" i="6"/>
  <c r="GV5" i="6"/>
  <c r="GU5" i="6"/>
  <c r="GT5" i="6"/>
  <c r="GS5" i="6"/>
  <c r="GR5" i="6"/>
  <c r="GQ5" i="6"/>
  <c r="GP5" i="6"/>
  <c r="GO5" i="6"/>
  <c r="GN5" i="6"/>
  <c r="GM5" i="6"/>
  <c r="GL5" i="6"/>
  <c r="GK5" i="6"/>
  <c r="GJ5" i="6"/>
  <c r="GI5" i="6"/>
  <c r="GH5" i="6"/>
  <c r="GG5" i="6"/>
  <c r="GF5" i="6"/>
  <c r="GE5" i="6"/>
  <c r="GD5" i="6"/>
  <c r="GC5" i="6"/>
  <c r="GB5" i="6"/>
  <c r="GA5" i="6"/>
  <c r="FZ5" i="6"/>
  <c r="FY5" i="6"/>
  <c r="FX5" i="6"/>
  <c r="FW5" i="6"/>
  <c r="FV5" i="6"/>
  <c r="FU5" i="6"/>
  <c r="FT5" i="6"/>
  <c r="FS5" i="6"/>
  <c r="FR5" i="6"/>
  <c r="FQ5" i="6"/>
  <c r="FP5" i="6"/>
  <c r="FO5" i="6"/>
  <c r="FN5" i="6"/>
  <c r="FM5" i="6"/>
  <c r="FL5" i="6"/>
  <c r="FK5" i="6"/>
  <c r="FJ5" i="6"/>
  <c r="FI5" i="6"/>
  <c r="FH5" i="6"/>
  <c r="FG5" i="6"/>
  <c r="FF5" i="6"/>
  <c r="FE5" i="6"/>
  <c r="FD5" i="6"/>
  <c r="FC5" i="6"/>
  <c r="FB5" i="6"/>
  <c r="FA5" i="6"/>
  <c r="EZ5" i="6"/>
  <c r="EY5" i="6"/>
  <c r="EX5" i="6"/>
  <c r="EW5" i="6"/>
  <c r="EV5" i="6"/>
  <c r="EU5" i="6"/>
  <c r="ET5" i="6"/>
  <c r="ES5" i="6"/>
  <c r="ER5" i="6"/>
  <c r="EQ5" i="6"/>
  <c r="EP5" i="6"/>
  <c r="EO5" i="6"/>
  <c r="EN5" i="6"/>
  <c r="EM5" i="6"/>
  <c r="EL5" i="6"/>
  <c r="EK5" i="6"/>
  <c r="EJ5" i="6"/>
  <c r="EI5" i="6"/>
  <c r="EH5" i="6"/>
  <c r="EG5" i="6"/>
  <c r="EF5" i="6"/>
  <c r="EE5" i="6"/>
  <c r="ED5" i="6"/>
  <c r="EC5" i="6"/>
  <c r="EB5" i="6"/>
  <c r="EA5" i="6"/>
  <c r="DZ5" i="6"/>
  <c r="DY5" i="6"/>
  <c r="DX5" i="6"/>
  <c r="DW5" i="6"/>
  <c r="DV5" i="6"/>
  <c r="DU5" i="6"/>
  <c r="DT5" i="6"/>
  <c r="DS5" i="6"/>
  <c r="DR5" i="6"/>
  <c r="DQ5" i="6"/>
  <c r="DP5" i="6"/>
  <c r="DO5" i="6"/>
  <c r="DN5" i="6"/>
  <c r="DM5" i="6"/>
  <c r="DL5" i="6"/>
  <c r="DK5" i="6"/>
  <c r="DJ5" i="6"/>
  <c r="DI5" i="6"/>
  <c r="DH5" i="6"/>
  <c r="DG5" i="6"/>
  <c r="DF5" i="6"/>
  <c r="DE5" i="6"/>
  <c r="DD5" i="6"/>
  <c r="DC5" i="6"/>
  <c r="DB5" i="6"/>
  <c r="DA5" i="6"/>
  <c r="CZ5" i="6"/>
  <c r="CY5" i="6"/>
  <c r="CX5" i="6"/>
  <c r="CW5" i="6"/>
  <c r="CV5" i="6"/>
  <c r="CU5" i="6"/>
  <c r="CT5" i="6"/>
  <c r="CS5" i="6"/>
  <c r="CR5" i="6"/>
  <c r="CQ5" i="6"/>
  <c r="CP5" i="6"/>
  <c r="CO5" i="6"/>
  <c r="CN5" i="6"/>
  <c r="CM5" i="6"/>
  <c r="CL5" i="6"/>
  <c r="CK5" i="6"/>
  <c r="CJ5" i="6"/>
  <c r="CI5" i="6"/>
  <c r="CH5" i="6"/>
  <c r="CG5" i="6"/>
  <c r="CF5" i="6"/>
  <c r="CE5" i="6"/>
  <c r="CD5" i="6"/>
  <c r="CC5" i="6"/>
  <c r="CB5" i="6"/>
  <c r="CA5" i="6"/>
  <c r="BZ5" i="6"/>
  <c r="BY5" i="6"/>
  <c r="BX5" i="6"/>
  <c r="BW5" i="6"/>
  <c r="BV5" i="6"/>
  <c r="BU5" i="6"/>
  <c r="BT5" i="6"/>
  <c r="BS5" i="6"/>
  <c r="BR5" i="6"/>
  <c r="BQ5" i="6"/>
  <c r="BP5" i="6"/>
  <c r="BO5" i="6"/>
  <c r="BN5" i="6"/>
  <c r="BM5" i="6"/>
  <c r="BL5" i="6"/>
  <c r="BK5" i="6"/>
  <c r="BJ5" i="6"/>
  <c r="BI5" i="6"/>
  <c r="BH5" i="6"/>
  <c r="BG5" i="6"/>
  <c r="BF5" i="6"/>
  <c r="BE5" i="6"/>
  <c r="BD5" i="6"/>
  <c r="BC5" i="6"/>
  <c r="BB5" i="6"/>
  <c r="BA5" i="6"/>
  <c r="AZ5" i="6"/>
  <c r="AY5" i="6"/>
  <c r="AX5" i="6"/>
  <c r="AW5" i="6"/>
  <c r="AV5" i="6"/>
  <c r="AU5" i="6"/>
  <c r="AT5" i="6"/>
  <c r="AS5" i="6"/>
  <c r="AR5" i="6"/>
  <c r="AQ5" i="6"/>
  <c r="AP5" i="6"/>
  <c r="AO5" i="6"/>
  <c r="AN5" i="6"/>
  <c r="AM5" i="6"/>
  <c r="AL5" i="6"/>
  <c r="AK5" i="6"/>
  <c r="AJ5" i="6"/>
  <c r="AI5" i="6"/>
  <c r="AH5" i="6"/>
  <c r="AG5" i="6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B5" i="6"/>
  <c r="A5" i="6"/>
  <c r="IV4" i="6"/>
  <c r="IU4" i="6"/>
  <c r="IT4" i="6"/>
  <c r="IS4" i="6"/>
  <c r="IR4" i="6"/>
  <c r="IQ4" i="6"/>
  <c r="IP4" i="6"/>
  <c r="IO4" i="6"/>
  <c r="IN4" i="6"/>
  <c r="IM4" i="6"/>
  <c r="IL4" i="6"/>
  <c r="IK4" i="6"/>
  <c r="IJ4" i="6"/>
  <c r="II4" i="6"/>
  <c r="IH4" i="6"/>
  <c r="IG4" i="6"/>
  <c r="IF4" i="6"/>
  <c r="IE4" i="6"/>
  <c r="ID4" i="6"/>
  <c r="IC4" i="6"/>
  <c r="IB4" i="6"/>
  <c r="IA4" i="6"/>
  <c r="HZ4" i="6"/>
  <c r="HY4" i="6"/>
  <c r="HX4" i="6"/>
  <c r="HW4" i="6"/>
  <c r="HV4" i="6"/>
  <c r="HU4" i="6"/>
  <c r="HT4" i="6"/>
  <c r="HS4" i="6"/>
  <c r="HR4" i="6"/>
  <c r="HQ4" i="6"/>
  <c r="HP4" i="6"/>
  <c r="HO4" i="6"/>
  <c r="HN4" i="6"/>
  <c r="HM4" i="6"/>
  <c r="HL4" i="6"/>
  <c r="HK4" i="6"/>
  <c r="HJ4" i="6"/>
  <c r="HI4" i="6"/>
  <c r="HH4" i="6"/>
  <c r="HG4" i="6"/>
  <c r="HF4" i="6"/>
  <c r="HE4" i="6"/>
  <c r="HD4" i="6"/>
  <c r="HC4" i="6"/>
  <c r="HB4" i="6"/>
  <c r="HA4" i="6"/>
  <c r="GZ4" i="6"/>
  <c r="GY4" i="6"/>
  <c r="GX4" i="6"/>
  <c r="GW4" i="6"/>
  <c r="GV4" i="6"/>
  <c r="GU4" i="6"/>
  <c r="GT4" i="6"/>
  <c r="GS4" i="6"/>
  <c r="GR4" i="6"/>
  <c r="GQ4" i="6"/>
  <c r="GP4" i="6"/>
  <c r="GO4" i="6"/>
  <c r="GN4" i="6"/>
  <c r="GM4" i="6"/>
  <c r="GL4" i="6"/>
  <c r="GK4" i="6"/>
  <c r="GJ4" i="6"/>
  <c r="GI4" i="6"/>
  <c r="GH4" i="6"/>
  <c r="GG4" i="6"/>
  <c r="GF4" i="6"/>
  <c r="GE4" i="6"/>
  <c r="GD4" i="6"/>
  <c r="GC4" i="6"/>
  <c r="GB4" i="6"/>
  <c r="GA4" i="6"/>
  <c r="FZ4" i="6"/>
  <c r="FY4" i="6"/>
  <c r="FX4" i="6"/>
  <c r="FW4" i="6"/>
  <c r="FV4" i="6"/>
  <c r="FU4" i="6"/>
  <c r="FT4" i="6"/>
  <c r="FS4" i="6"/>
  <c r="FR4" i="6"/>
  <c r="FQ4" i="6"/>
  <c r="FP4" i="6"/>
  <c r="FO4" i="6"/>
  <c r="FN4" i="6"/>
  <c r="FM4" i="6"/>
  <c r="FL4" i="6"/>
  <c r="FK4" i="6"/>
  <c r="FJ4" i="6"/>
  <c r="FI4" i="6"/>
  <c r="FH4" i="6"/>
  <c r="FG4" i="6"/>
  <c r="FF4" i="6"/>
  <c r="FE4" i="6"/>
  <c r="FD4" i="6"/>
  <c r="FC4" i="6"/>
  <c r="FB4" i="6"/>
  <c r="FA4" i="6"/>
  <c r="EZ4" i="6"/>
  <c r="EY4" i="6"/>
  <c r="EX4" i="6"/>
  <c r="EW4" i="6"/>
  <c r="EV4" i="6"/>
  <c r="EU4" i="6"/>
  <c r="ET4" i="6"/>
  <c r="ES4" i="6"/>
  <c r="ER4" i="6"/>
  <c r="EQ4" i="6"/>
  <c r="EP4" i="6"/>
  <c r="EO4" i="6"/>
  <c r="EN4" i="6"/>
  <c r="EM4" i="6"/>
  <c r="EL4" i="6"/>
  <c r="EK4" i="6"/>
  <c r="EJ4" i="6"/>
  <c r="EI4" i="6"/>
  <c r="EH4" i="6"/>
  <c r="EG4" i="6"/>
  <c r="EF4" i="6"/>
  <c r="EE4" i="6"/>
  <c r="ED4" i="6"/>
  <c r="EC4" i="6"/>
  <c r="EB4" i="6"/>
  <c r="EA4" i="6"/>
  <c r="DZ4" i="6"/>
  <c r="DY4" i="6"/>
  <c r="DX4" i="6"/>
  <c r="DW4" i="6"/>
  <c r="DV4" i="6"/>
  <c r="DU4" i="6"/>
  <c r="DT4" i="6"/>
  <c r="DS4" i="6"/>
  <c r="DR4" i="6"/>
  <c r="DQ4" i="6"/>
  <c r="DP4" i="6"/>
  <c r="DO4" i="6"/>
  <c r="DN4" i="6"/>
  <c r="DM4" i="6"/>
  <c r="DL4" i="6"/>
  <c r="DK4" i="6"/>
  <c r="DJ4" i="6"/>
  <c r="DI4" i="6"/>
  <c r="DH4" i="6"/>
  <c r="DG4" i="6"/>
  <c r="DF4" i="6"/>
  <c r="DE4" i="6"/>
  <c r="DD4" i="6"/>
  <c r="DC4" i="6"/>
  <c r="DB4" i="6"/>
  <c r="DA4" i="6"/>
  <c r="CZ4" i="6"/>
  <c r="CY4" i="6"/>
  <c r="CX4" i="6"/>
  <c r="CW4" i="6"/>
  <c r="CV4" i="6"/>
  <c r="CU4" i="6"/>
  <c r="CT4" i="6"/>
  <c r="CS4" i="6"/>
  <c r="CR4" i="6"/>
  <c r="CQ4" i="6"/>
  <c r="CP4" i="6"/>
  <c r="CO4" i="6"/>
  <c r="CN4" i="6"/>
  <c r="CM4" i="6"/>
  <c r="CL4" i="6"/>
  <c r="CK4" i="6"/>
  <c r="CJ4" i="6"/>
  <c r="CI4" i="6"/>
  <c r="CH4" i="6"/>
  <c r="CG4" i="6"/>
  <c r="CF4" i="6"/>
  <c r="CE4" i="6"/>
  <c r="CD4" i="6"/>
  <c r="CC4" i="6"/>
  <c r="CB4" i="6"/>
  <c r="CA4" i="6"/>
  <c r="BZ4" i="6"/>
  <c r="BY4" i="6"/>
  <c r="BX4" i="6"/>
  <c r="BW4" i="6"/>
  <c r="BV4" i="6"/>
  <c r="BU4" i="6"/>
  <c r="BT4" i="6"/>
  <c r="BS4" i="6"/>
  <c r="BR4" i="6"/>
  <c r="BQ4" i="6"/>
  <c r="BP4" i="6"/>
  <c r="BO4" i="6"/>
  <c r="BN4" i="6"/>
  <c r="BM4" i="6"/>
  <c r="BL4" i="6"/>
  <c r="BK4" i="6"/>
  <c r="BJ4" i="6"/>
  <c r="BI4" i="6"/>
  <c r="BH4" i="6"/>
  <c r="BG4" i="6"/>
  <c r="BF4" i="6"/>
  <c r="BE4" i="6"/>
  <c r="BD4" i="6"/>
  <c r="BC4" i="6"/>
  <c r="BB4" i="6"/>
  <c r="BA4" i="6"/>
  <c r="AZ4" i="6"/>
  <c r="AY4" i="6"/>
  <c r="AX4" i="6"/>
  <c r="AW4" i="6"/>
  <c r="AV4" i="6"/>
  <c r="AU4" i="6"/>
  <c r="AT4" i="6"/>
  <c r="AS4" i="6"/>
  <c r="AR4" i="6"/>
  <c r="AQ4" i="6"/>
  <c r="AP4" i="6"/>
  <c r="AO4" i="6"/>
  <c r="AN4" i="6"/>
  <c r="AM4" i="6"/>
  <c r="AL4" i="6"/>
  <c r="AK4" i="6"/>
  <c r="AJ4" i="6"/>
  <c r="AI4" i="6"/>
  <c r="AH4" i="6"/>
  <c r="AG4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B4" i="6"/>
  <c r="A4" i="6"/>
  <c r="IV3" i="6"/>
  <c r="IU3" i="6"/>
  <c r="IT3" i="6"/>
  <c r="IS3" i="6"/>
  <c r="IR3" i="6"/>
  <c r="IQ3" i="6"/>
  <c r="IP3" i="6"/>
  <c r="IO3" i="6"/>
  <c r="IN3" i="6"/>
  <c r="IM3" i="6"/>
  <c r="IL3" i="6"/>
  <c r="IK3" i="6"/>
  <c r="IJ3" i="6"/>
  <c r="II3" i="6"/>
  <c r="IH3" i="6"/>
  <c r="IG3" i="6"/>
  <c r="IF3" i="6"/>
  <c r="IE3" i="6"/>
  <c r="ID3" i="6"/>
  <c r="IC3" i="6"/>
  <c r="IB3" i="6"/>
  <c r="IA3" i="6"/>
  <c r="HZ3" i="6"/>
  <c r="HY3" i="6"/>
  <c r="HX3" i="6"/>
  <c r="HW3" i="6"/>
  <c r="HV3" i="6"/>
  <c r="HU3" i="6"/>
  <c r="HT3" i="6"/>
  <c r="HS3" i="6"/>
  <c r="HR3" i="6"/>
  <c r="HQ3" i="6"/>
  <c r="HP3" i="6"/>
  <c r="HO3" i="6"/>
  <c r="HN3" i="6"/>
  <c r="HM3" i="6"/>
  <c r="HL3" i="6"/>
  <c r="HK3" i="6"/>
  <c r="HJ3" i="6"/>
  <c r="HI3" i="6"/>
  <c r="HH3" i="6"/>
  <c r="HG3" i="6"/>
  <c r="HF3" i="6"/>
  <c r="HE3" i="6"/>
  <c r="HD3" i="6"/>
  <c r="HC3" i="6"/>
  <c r="HB3" i="6"/>
  <c r="HA3" i="6"/>
  <c r="GZ3" i="6"/>
  <c r="GY3" i="6"/>
  <c r="GX3" i="6"/>
  <c r="GW3" i="6"/>
  <c r="GV3" i="6"/>
  <c r="GU3" i="6"/>
  <c r="GT3" i="6"/>
  <c r="GS3" i="6"/>
  <c r="GR3" i="6"/>
  <c r="GQ3" i="6"/>
  <c r="GP3" i="6"/>
  <c r="GO3" i="6"/>
  <c r="GN3" i="6"/>
  <c r="GM3" i="6"/>
  <c r="GL3" i="6"/>
  <c r="GK3" i="6"/>
  <c r="GJ3" i="6"/>
  <c r="GI3" i="6"/>
  <c r="GH3" i="6"/>
  <c r="GG3" i="6"/>
  <c r="GF3" i="6"/>
  <c r="GE3" i="6"/>
  <c r="GD3" i="6"/>
  <c r="GC3" i="6"/>
  <c r="GB3" i="6"/>
  <c r="GA3" i="6"/>
  <c r="FZ3" i="6"/>
  <c r="FY3" i="6"/>
  <c r="FX3" i="6"/>
  <c r="FW3" i="6"/>
  <c r="FV3" i="6"/>
  <c r="FU3" i="6"/>
  <c r="FT3" i="6"/>
  <c r="FS3" i="6"/>
  <c r="FR3" i="6"/>
  <c r="FQ3" i="6"/>
  <c r="FP3" i="6"/>
  <c r="FO3" i="6"/>
  <c r="FN3" i="6"/>
  <c r="FM3" i="6"/>
  <c r="FL3" i="6"/>
  <c r="FK3" i="6"/>
  <c r="FJ3" i="6"/>
  <c r="FI3" i="6"/>
  <c r="FH3" i="6"/>
  <c r="FG3" i="6"/>
  <c r="FF3" i="6"/>
  <c r="FE3" i="6"/>
  <c r="FD3" i="6"/>
  <c r="FC3" i="6"/>
  <c r="FB3" i="6"/>
  <c r="FA3" i="6"/>
  <c r="EZ3" i="6"/>
  <c r="EY3" i="6"/>
  <c r="EX3" i="6"/>
  <c r="EW3" i="6"/>
  <c r="EV3" i="6"/>
  <c r="EU3" i="6"/>
  <c r="ET3" i="6"/>
  <c r="ES3" i="6"/>
  <c r="ER3" i="6"/>
  <c r="EQ3" i="6"/>
  <c r="EP3" i="6"/>
  <c r="EO3" i="6"/>
  <c r="EN3" i="6"/>
  <c r="EM3" i="6"/>
  <c r="EL3" i="6"/>
  <c r="EK3" i="6"/>
  <c r="EJ3" i="6"/>
  <c r="EI3" i="6"/>
  <c r="EH3" i="6"/>
  <c r="EG3" i="6"/>
  <c r="EF3" i="6"/>
  <c r="EE3" i="6"/>
  <c r="ED3" i="6"/>
  <c r="EC3" i="6"/>
  <c r="EB3" i="6"/>
  <c r="EA3" i="6"/>
  <c r="DZ3" i="6"/>
  <c r="DY3" i="6"/>
  <c r="DX3" i="6"/>
  <c r="DW3" i="6"/>
  <c r="DV3" i="6"/>
  <c r="DU3" i="6"/>
  <c r="DT3" i="6"/>
  <c r="DS3" i="6"/>
  <c r="DR3" i="6"/>
  <c r="DQ3" i="6"/>
  <c r="DP3" i="6"/>
  <c r="DO3" i="6"/>
  <c r="DN3" i="6"/>
  <c r="DM3" i="6"/>
  <c r="DL3" i="6"/>
  <c r="DK3" i="6"/>
  <c r="DJ3" i="6"/>
  <c r="DI3" i="6"/>
  <c r="DH3" i="6"/>
  <c r="DG3" i="6"/>
  <c r="DF3" i="6"/>
  <c r="DE3" i="6"/>
  <c r="DD3" i="6"/>
  <c r="DC3" i="6"/>
  <c r="DB3" i="6"/>
  <c r="DA3" i="6"/>
  <c r="CZ3" i="6"/>
  <c r="CY3" i="6"/>
  <c r="CX3" i="6"/>
  <c r="CW3" i="6"/>
  <c r="CV3" i="6"/>
  <c r="CU3" i="6"/>
  <c r="CT3" i="6"/>
  <c r="CS3" i="6"/>
  <c r="CR3" i="6"/>
  <c r="CQ3" i="6"/>
  <c r="CP3" i="6"/>
  <c r="CO3" i="6"/>
  <c r="CN3" i="6"/>
  <c r="CM3" i="6"/>
  <c r="CL3" i="6"/>
  <c r="CK3" i="6"/>
  <c r="CJ3" i="6"/>
  <c r="CI3" i="6"/>
  <c r="CH3" i="6"/>
  <c r="CG3" i="6"/>
  <c r="CF3" i="6"/>
  <c r="CE3" i="6"/>
  <c r="CD3" i="6"/>
  <c r="CC3" i="6"/>
  <c r="CB3" i="6"/>
  <c r="CA3" i="6"/>
  <c r="BZ3" i="6"/>
  <c r="BY3" i="6"/>
  <c r="BX3" i="6"/>
  <c r="BW3" i="6"/>
  <c r="BV3" i="6"/>
  <c r="BU3" i="6"/>
  <c r="BT3" i="6"/>
  <c r="BS3" i="6"/>
  <c r="BR3" i="6"/>
  <c r="BQ3" i="6"/>
  <c r="BP3" i="6"/>
  <c r="BO3" i="6"/>
  <c r="BN3" i="6"/>
  <c r="BM3" i="6"/>
  <c r="BL3" i="6"/>
  <c r="BK3" i="6"/>
  <c r="BJ3" i="6"/>
  <c r="BI3" i="6"/>
  <c r="BH3" i="6"/>
  <c r="BG3" i="6"/>
  <c r="BF3" i="6"/>
  <c r="BE3" i="6"/>
  <c r="BD3" i="6"/>
  <c r="BC3" i="6"/>
  <c r="BB3" i="6"/>
  <c r="BA3" i="6"/>
  <c r="AZ3" i="6"/>
  <c r="AY3" i="6"/>
  <c r="AX3" i="6"/>
  <c r="AW3" i="6"/>
  <c r="AV3" i="6"/>
  <c r="AU3" i="6"/>
  <c r="AT3" i="6"/>
  <c r="AS3" i="6"/>
  <c r="AR3" i="6"/>
  <c r="AQ3" i="6"/>
  <c r="AP3" i="6"/>
  <c r="AO3" i="6"/>
  <c r="AN3" i="6"/>
  <c r="AM3" i="6"/>
  <c r="AL3" i="6"/>
  <c r="AK3" i="6"/>
  <c r="AJ3" i="6"/>
  <c r="AI3" i="6"/>
  <c r="AH3" i="6"/>
  <c r="AG3" i="6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B3" i="6"/>
  <c r="A3" i="6"/>
  <c r="IV2" i="6"/>
  <c r="IU2" i="6"/>
  <c r="IT2" i="6"/>
  <c r="IS2" i="6"/>
  <c r="IR2" i="6"/>
  <c r="IQ2" i="6"/>
  <c r="IP2" i="6"/>
  <c r="IO2" i="6"/>
  <c r="IN2" i="6"/>
  <c r="IM2" i="6"/>
  <c r="IL2" i="6"/>
  <c r="IK2" i="6"/>
  <c r="IJ2" i="6"/>
  <c r="II2" i="6"/>
  <c r="IH2" i="6"/>
  <c r="IG2" i="6"/>
  <c r="IF2" i="6"/>
  <c r="IE2" i="6"/>
  <c r="ID2" i="6"/>
  <c r="IC2" i="6"/>
  <c r="IB2" i="6"/>
  <c r="IA2" i="6"/>
  <c r="HZ2" i="6"/>
  <c r="HY2" i="6"/>
  <c r="HX2" i="6"/>
  <c r="HW2" i="6"/>
  <c r="HV2" i="6"/>
  <c r="HU2" i="6"/>
  <c r="HT2" i="6"/>
  <c r="HS2" i="6"/>
  <c r="HR2" i="6"/>
  <c r="HQ2" i="6"/>
  <c r="HP2" i="6"/>
  <c r="HO2" i="6"/>
  <c r="HN2" i="6"/>
  <c r="HM2" i="6"/>
  <c r="HL2" i="6"/>
  <c r="HK2" i="6"/>
  <c r="HJ2" i="6"/>
  <c r="HI2" i="6"/>
  <c r="HH2" i="6"/>
  <c r="HG2" i="6"/>
  <c r="HF2" i="6"/>
  <c r="HE2" i="6"/>
  <c r="HD2" i="6"/>
  <c r="HC2" i="6"/>
  <c r="HB2" i="6"/>
  <c r="HA2" i="6"/>
  <c r="GZ2" i="6"/>
  <c r="GY2" i="6"/>
  <c r="GX2" i="6"/>
  <c r="GW2" i="6"/>
  <c r="GV2" i="6"/>
  <c r="GU2" i="6"/>
  <c r="GT2" i="6"/>
  <c r="GS2" i="6"/>
  <c r="GR2" i="6"/>
  <c r="GQ2" i="6"/>
  <c r="GP2" i="6"/>
  <c r="GO2" i="6"/>
  <c r="GN2" i="6"/>
  <c r="GM2" i="6"/>
  <c r="GL2" i="6"/>
  <c r="GK2" i="6"/>
  <c r="GJ2" i="6"/>
  <c r="GI2" i="6"/>
  <c r="GH2" i="6"/>
  <c r="GG2" i="6"/>
  <c r="GF2" i="6"/>
  <c r="GE2" i="6"/>
  <c r="GD2" i="6"/>
  <c r="GC2" i="6"/>
  <c r="GB2" i="6"/>
  <c r="GA2" i="6"/>
  <c r="FZ2" i="6"/>
  <c r="FY2" i="6"/>
  <c r="FX2" i="6"/>
  <c r="FW2" i="6"/>
  <c r="FV2" i="6"/>
  <c r="FU2" i="6"/>
  <c r="FT2" i="6"/>
  <c r="FS2" i="6"/>
  <c r="FR2" i="6"/>
  <c r="FQ2" i="6"/>
  <c r="FP2" i="6"/>
  <c r="FO2" i="6"/>
  <c r="FN2" i="6"/>
  <c r="FM2" i="6"/>
  <c r="FL2" i="6"/>
  <c r="FK2" i="6"/>
  <c r="FJ2" i="6"/>
  <c r="FI2" i="6"/>
  <c r="FH2" i="6"/>
  <c r="FG2" i="6"/>
  <c r="FF2" i="6"/>
  <c r="FE2" i="6"/>
  <c r="FD2" i="6"/>
  <c r="FC2" i="6"/>
  <c r="FB2" i="6"/>
  <c r="FA2" i="6"/>
  <c r="EZ2" i="6"/>
  <c r="EY2" i="6"/>
  <c r="EX2" i="6"/>
  <c r="EW2" i="6"/>
  <c r="EV2" i="6"/>
  <c r="EU2" i="6"/>
  <c r="ET2" i="6"/>
  <c r="ES2" i="6"/>
  <c r="ER2" i="6"/>
  <c r="EQ2" i="6"/>
  <c r="EP2" i="6"/>
  <c r="EO2" i="6"/>
  <c r="EN2" i="6"/>
  <c r="EM2" i="6"/>
  <c r="EL2" i="6"/>
  <c r="EK2" i="6"/>
  <c r="EJ2" i="6"/>
  <c r="EI2" i="6"/>
  <c r="EH2" i="6"/>
  <c r="EG2" i="6"/>
  <c r="EF2" i="6"/>
  <c r="EE2" i="6"/>
  <c r="ED2" i="6"/>
  <c r="EC2" i="6"/>
  <c r="EB2" i="6"/>
  <c r="EA2" i="6"/>
  <c r="DZ2" i="6"/>
  <c r="DY2" i="6"/>
  <c r="DX2" i="6"/>
  <c r="DW2" i="6"/>
  <c r="DV2" i="6"/>
  <c r="DU2" i="6"/>
  <c r="DT2" i="6"/>
  <c r="DS2" i="6"/>
  <c r="DR2" i="6"/>
  <c r="DQ2" i="6"/>
  <c r="DP2" i="6"/>
  <c r="DO2" i="6"/>
  <c r="DN2" i="6"/>
  <c r="DM2" i="6"/>
  <c r="DL2" i="6"/>
  <c r="DK2" i="6"/>
  <c r="DJ2" i="6"/>
  <c r="DI2" i="6"/>
  <c r="DH2" i="6"/>
  <c r="DG2" i="6"/>
  <c r="DF2" i="6"/>
  <c r="DE2" i="6"/>
  <c r="DD2" i="6"/>
  <c r="DC2" i="6"/>
  <c r="DB2" i="6"/>
  <c r="DA2" i="6"/>
  <c r="CZ2" i="6"/>
  <c r="CY2" i="6"/>
  <c r="CX2" i="6"/>
  <c r="CW2" i="6"/>
  <c r="CV2" i="6"/>
  <c r="CU2" i="6"/>
  <c r="CT2" i="6"/>
  <c r="CS2" i="6"/>
  <c r="CR2" i="6"/>
  <c r="CQ2" i="6"/>
  <c r="CP2" i="6"/>
  <c r="CO2" i="6"/>
  <c r="CN2" i="6"/>
  <c r="CM2" i="6"/>
  <c r="CL2" i="6"/>
  <c r="CK2" i="6"/>
  <c r="CJ2" i="6"/>
  <c r="CI2" i="6"/>
  <c r="CH2" i="6"/>
  <c r="CG2" i="6"/>
  <c r="CF2" i="6"/>
  <c r="CE2" i="6"/>
  <c r="CD2" i="6"/>
  <c r="CC2" i="6"/>
  <c r="CB2" i="6"/>
  <c r="CA2" i="6"/>
  <c r="BZ2" i="6"/>
  <c r="BY2" i="6"/>
  <c r="BX2" i="6"/>
  <c r="BW2" i="6"/>
  <c r="BV2" i="6"/>
  <c r="BU2" i="6"/>
  <c r="BT2" i="6"/>
  <c r="BS2" i="6"/>
  <c r="BR2" i="6"/>
  <c r="BQ2" i="6"/>
  <c r="BP2" i="6"/>
  <c r="BO2" i="6"/>
  <c r="BN2" i="6"/>
  <c r="BM2" i="6"/>
  <c r="BL2" i="6"/>
  <c r="BK2" i="6"/>
  <c r="BJ2" i="6"/>
  <c r="BI2" i="6"/>
  <c r="BH2" i="6"/>
  <c r="BG2" i="6"/>
  <c r="BF2" i="6"/>
  <c r="BE2" i="6"/>
  <c r="BD2" i="6"/>
  <c r="BC2" i="6"/>
  <c r="BB2" i="6"/>
  <c r="BA2" i="6"/>
  <c r="AZ2" i="6"/>
  <c r="AY2" i="6"/>
  <c r="AX2" i="6"/>
  <c r="AW2" i="6"/>
  <c r="AV2" i="6"/>
  <c r="AU2" i="6"/>
  <c r="AT2" i="6"/>
  <c r="AS2" i="6"/>
  <c r="AR2" i="6"/>
  <c r="AQ2" i="6"/>
  <c r="AP2" i="6"/>
  <c r="AO2" i="6"/>
  <c r="AN2" i="6"/>
  <c r="AM2" i="6"/>
  <c r="AL2" i="6"/>
  <c r="AK2" i="6"/>
  <c r="AJ2" i="6"/>
  <c r="AI2" i="6"/>
  <c r="AH2" i="6"/>
  <c r="AG2" i="6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B2" i="6"/>
  <c r="A2" i="6"/>
  <c r="IV1" i="6"/>
  <c r="IU1" i="6"/>
  <c r="IT1" i="6"/>
  <c r="IS1" i="6"/>
  <c r="IR1" i="6"/>
  <c r="IQ1" i="6"/>
  <c r="IP1" i="6"/>
  <c r="IO1" i="6"/>
  <c r="IN1" i="6"/>
  <c r="IM1" i="6"/>
  <c r="IL1" i="6"/>
  <c r="IK1" i="6"/>
  <c r="IJ1" i="6"/>
  <c r="II1" i="6"/>
  <c r="IH1" i="6"/>
  <c r="IG1" i="6"/>
  <c r="IF1" i="6"/>
  <c r="IE1" i="6"/>
  <c r="ID1" i="6"/>
  <c r="IC1" i="6"/>
  <c r="IB1" i="6"/>
  <c r="IA1" i="6"/>
  <c r="HZ1" i="6"/>
  <c r="HY1" i="6"/>
  <c r="HX1" i="6"/>
  <c r="HW1" i="6"/>
  <c r="HV1" i="6"/>
  <c r="HU1" i="6"/>
  <c r="HT1" i="6"/>
  <c r="HS1" i="6"/>
  <c r="HR1" i="6"/>
  <c r="HQ1" i="6"/>
  <c r="HP1" i="6"/>
  <c r="HO1" i="6"/>
  <c r="HN1" i="6"/>
  <c r="HM1" i="6"/>
  <c r="HL1" i="6"/>
  <c r="HK1" i="6"/>
  <c r="HJ1" i="6"/>
  <c r="HI1" i="6"/>
  <c r="HH1" i="6"/>
  <c r="HG1" i="6"/>
  <c r="HF1" i="6"/>
  <c r="HE1" i="6"/>
  <c r="HD1" i="6"/>
  <c r="HC1" i="6"/>
  <c r="HB1" i="6"/>
  <c r="HA1" i="6"/>
  <c r="GZ1" i="6"/>
  <c r="GY1" i="6"/>
  <c r="GX1" i="6"/>
  <c r="GW1" i="6"/>
  <c r="GV1" i="6"/>
  <c r="GU1" i="6"/>
  <c r="GT1" i="6"/>
  <c r="GS1" i="6"/>
  <c r="GR1" i="6"/>
  <c r="GQ1" i="6"/>
  <c r="GP1" i="6"/>
  <c r="GO1" i="6"/>
  <c r="GN1" i="6"/>
  <c r="GM1" i="6"/>
  <c r="GL1" i="6"/>
  <c r="GK1" i="6"/>
  <c r="GJ1" i="6"/>
  <c r="GI1" i="6"/>
  <c r="GH1" i="6"/>
  <c r="GG1" i="6"/>
  <c r="GF1" i="6"/>
  <c r="GE1" i="6"/>
  <c r="GD1" i="6"/>
  <c r="GC1" i="6"/>
  <c r="GB1" i="6"/>
  <c r="GA1" i="6"/>
  <c r="FZ1" i="6"/>
  <c r="FY1" i="6"/>
  <c r="FX1" i="6"/>
  <c r="FW1" i="6"/>
  <c r="FV1" i="6"/>
  <c r="FU1" i="6"/>
  <c r="FT1" i="6"/>
  <c r="FS1" i="6"/>
  <c r="FR1" i="6"/>
  <c r="FQ1" i="6"/>
  <c r="FP1" i="6"/>
  <c r="FO1" i="6"/>
  <c r="FN1" i="6"/>
  <c r="FM1" i="6"/>
  <c r="FL1" i="6"/>
  <c r="FK1" i="6"/>
  <c r="FJ1" i="6"/>
  <c r="FI1" i="6"/>
  <c r="FH1" i="6"/>
  <c r="FG1" i="6"/>
  <c r="FF1" i="6"/>
  <c r="FE1" i="6"/>
  <c r="FD1" i="6"/>
  <c r="FC1" i="6"/>
  <c r="FB1" i="6"/>
  <c r="FA1" i="6"/>
  <c r="EZ1" i="6"/>
  <c r="EY1" i="6"/>
  <c r="EX1" i="6"/>
  <c r="EW1" i="6"/>
  <c r="EV1" i="6"/>
  <c r="EU1" i="6"/>
  <c r="ET1" i="6"/>
  <c r="ES1" i="6"/>
  <c r="ER1" i="6"/>
  <c r="EQ1" i="6"/>
  <c r="EP1" i="6"/>
  <c r="EO1" i="6"/>
  <c r="EN1" i="6"/>
  <c r="EM1" i="6"/>
  <c r="EL1" i="6"/>
  <c r="EK1" i="6"/>
  <c r="EJ1" i="6"/>
  <c r="EI1" i="6"/>
  <c r="EH1" i="6"/>
  <c r="EG1" i="6"/>
  <c r="EF1" i="6"/>
  <c r="EE1" i="6"/>
  <c r="ED1" i="6"/>
  <c r="EC1" i="6"/>
  <c r="EB1" i="6"/>
  <c r="EA1" i="6"/>
  <c r="DZ1" i="6"/>
  <c r="DY1" i="6"/>
  <c r="DX1" i="6"/>
  <c r="DW1" i="6"/>
  <c r="DV1" i="6"/>
  <c r="DU1" i="6"/>
  <c r="DT1" i="6"/>
  <c r="DS1" i="6"/>
  <c r="DR1" i="6"/>
  <c r="DQ1" i="6"/>
  <c r="DP1" i="6"/>
  <c r="DO1" i="6"/>
  <c r="DN1" i="6"/>
  <c r="DM1" i="6"/>
  <c r="DL1" i="6"/>
  <c r="DK1" i="6"/>
  <c r="DJ1" i="6"/>
  <c r="DI1" i="6"/>
  <c r="DH1" i="6"/>
  <c r="DG1" i="6"/>
  <c r="DF1" i="6"/>
  <c r="DE1" i="6"/>
  <c r="DD1" i="6"/>
  <c r="DC1" i="6"/>
  <c r="DB1" i="6"/>
  <c r="DA1" i="6"/>
  <c r="CZ1" i="6"/>
  <c r="CY1" i="6"/>
  <c r="CX1" i="6"/>
  <c r="CW1" i="6"/>
  <c r="CV1" i="6"/>
  <c r="CU1" i="6"/>
  <c r="CT1" i="6"/>
  <c r="CS1" i="6"/>
  <c r="CR1" i="6"/>
  <c r="CQ1" i="6"/>
  <c r="CP1" i="6"/>
  <c r="CO1" i="6"/>
  <c r="CN1" i="6"/>
  <c r="CM1" i="6"/>
  <c r="CL1" i="6"/>
  <c r="CK1" i="6"/>
  <c r="CJ1" i="6"/>
  <c r="CI1" i="6"/>
  <c r="CH1" i="6"/>
  <c r="CG1" i="6"/>
  <c r="CF1" i="6"/>
  <c r="CE1" i="6"/>
  <c r="CD1" i="6"/>
  <c r="CC1" i="6"/>
  <c r="CB1" i="6"/>
  <c r="CA1" i="6"/>
  <c r="BZ1" i="6"/>
  <c r="BY1" i="6"/>
  <c r="BX1" i="6"/>
  <c r="BW1" i="6"/>
  <c r="BV1" i="6"/>
  <c r="BU1" i="6"/>
  <c r="BT1" i="6"/>
  <c r="BS1" i="6"/>
  <c r="BR1" i="6"/>
  <c r="BQ1" i="6"/>
  <c r="BP1" i="6"/>
  <c r="BO1" i="6"/>
  <c r="BN1" i="6"/>
  <c r="BM1" i="6"/>
  <c r="BL1" i="6"/>
  <c r="BK1" i="6"/>
  <c r="BJ1" i="6"/>
  <c r="BI1" i="6"/>
  <c r="BH1" i="6"/>
  <c r="BG1" i="6"/>
  <c r="BF1" i="6"/>
  <c r="BE1" i="6"/>
  <c r="BD1" i="6"/>
  <c r="BC1" i="6"/>
  <c r="BB1" i="6"/>
  <c r="BA1" i="6"/>
  <c r="AZ1" i="6"/>
  <c r="AY1" i="6"/>
  <c r="AX1" i="6"/>
  <c r="AW1" i="6"/>
  <c r="AV1" i="6"/>
  <c r="AU1" i="6"/>
  <c r="AT1" i="6"/>
  <c r="AS1" i="6"/>
  <c r="AR1" i="6"/>
  <c r="AQ1" i="6"/>
  <c r="AP1" i="6"/>
  <c r="AO1" i="6"/>
  <c r="AN1" i="6"/>
  <c r="AM1" i="6"/>
  <c r="AL1" i="6"/>
  <c r="AK1" i="6"/>
  <c r="AJ1" i="6"/>
  <c r="AI1" i="6"/>
  <c r="AH1" i="6"/>
  <c r="AG1" i="6"/>
  <c r="AF1" i="6"/>
  <c r="AE1" i="6"/>
  <c r="AD1" i="6"/>
  <c r="AC1" i="6"/>
  <c r="AB1" i="6"/>
  <c r="AA1" i="6"/>
  <c r="Z1" i="6"/>
  <c r="Y1" i="6"/>
  <c r="X1" i="6"/>
  <c r="W1" i="6"/>
  <c r="V1" i="6"/>
  <c r="U1" i="6"/>
  <c r="T1" i="6"/>
  <c r="S1" i="6"/>
  <c r="R1" i="6"/>
  <c r="Q1" i="6"/>
  <c r="P1" i="6"/>
  <c r="O1" i="6"/>
  <c r="N1" i="6"/>
  <c r="M1" i="6"/>
  <c r="L1" i="6"/>
  <c r="K1" i="6"/>
  <c r="J1" i="6"/>
  <c r="I1" i="6"/>
  <c r="H1" i="6"/>
  <c r="G1" i="6"/>
  <c r="F1" i="6"/>
  <c r="E1" i="6"/>
  <c r="D1" i="6"/>
  <c r="C1" i="6"/>
  <c r="B1" i="6"/>
  <c r="A1" i="6"/>
  <c r="C2" i="5"/>
  <c r="C1" i="5"/>
  <c r="K67" i="2"/>
  <c r="L67" i="2" s="1"/>
  <c r="K66" i="2"/>
  <c r="L66" i="2" s="1"/>
  <c r="K65" i="2"/>
  <c r="L65" i="2" s="1"/>
  <c r="K64" i="2"/>
  <c r="L64" i="2" s="1"/>
  <c r="K63" i="2"/>
  <c r="L63" i="2" s="1"/>
  <c r="B60" i="2"/>
  <c r="K56" i="2"/>
  <c r="L56" i="2" s="1"/>
  <c r="K55" i="2"/>
  <c r="L55" i="2" s="1"/>
  <c r="K54" i="2"/>
  <c r="L54" i="2" s="1"/>
  <c r="K53" i="2"/>
  <c r="L53" i="2" s="1"/>
  <c r="K52" i="2"/>
  <c r="L52" i="2" s="1"/>
  <c r="K51" i="2"/>
  <c r="L51" i="2" s="1"/>
  <c r="K50" i="2"/>
  <c r="L50" i="2" s="1"/>
  <c r="K49" i="2"/>
  <c r="L49" i="2" s="1"/>
  <c r="K48" i="2"/>
  <c r="L48" i="2" s="1"/>
  <c r="K47" i="2"/>
  <c r="L47" i="2" s="1"/>
  <c r="B44" i="2"/>
  <c r="B110" i="1" s="1"/>
  <c r="K41" i="2"/>
  <c r="L41" i="2" s="1"/>
  <c r="K40" i="2"/>
  <c r="L40" i="2" s="1"/>
  <c r="K39" i="2"/>
  <c r="L39" i="2" s="1"/>
  <c r="K38" i="2"/>
  <c r="L38" i="2" s="1"/>
  <c r="K37" i="2"/>
  <c r="L37" i="2" s="1"/>
  <c r="B34" i="2"/>
  <c r="F28" i="2"/>
  <c r="G28" i="2" s="1"/>
  <c r="F91" i="1" s="1"/>
  <c r="B25" i="2"/>
  <c r="F21" i="2"/>
  <c r="F81" i="1" s="1"/>
  <c r="B18" i="2"/>
  <c r="B78" i="1" s="1"/>
  <c r="F13" i="2"/>
  <c r="F12" i="2"/>
  <c r="F203" i="1"/>
  <c r="F202" i="1"/>
  <c r="B202" i="1"/>
  <c r="F201" i="1"/>
  <c r="B201" i="1"/>
  <c r="H182" i="1"/>
  <c r="F182" i="1"/>
  <c r="D182" i="1"/>
  <c r="B182" i="1"/>
  <c r="B172" i="1"/>
  <c r="K160" i="1"/>
  <c r="J160" i="1"/>
  <c r="K159" i="1"/>
  <c r="J159" i="1"/>
  <c r="K158" i="1"/>
  <c r="J158" i="1"/>
  <c r="K157" i="1"/>
  <c r="J157" i="1"/>
  <c r="K156" i="1"/>
  <c r="J156" i="1"/>
  <c r="K155" i="1"/>
  <c r="J155" i="1"/>
  <c r="K153" i="1"/>
  <c r="J153" i="1"/>
  <c r="K152" i="1"/>
  <c r="J152" i="1"/>
  <c r="K151" i="1"/>
  <c r="J151" i="1"/>
  <c r="K150" i="1"/>
  <c r="J150" i="1"/>
  <c r="K149" i="1"/>
  <c r="J149" i="1"/>
  <c r="K148" i="1"/>
  <c r="J148" i="1"/>
  <c r="K146" i="1"/>
  <c r="J146" i="1"/>
  <c r="K145" i="1"/>
  <c r="J145" i="1"/>
  <c r="K144" i="1"/>
  <c r="J144" i="1"/>
  <c r="K143" i="1"/>
  <c r="J143" i="1"/>
  <c r="K142" i="1"/>
  <c r="J142" i="1"/>
  <c r="K141" i="1"/>
  <c r="J141" i="1"/>
  <c r="K139" i="1"/>
  <c r="J139" i="1"/>
  <c r="K138" i="1"/>
  <c r="J138" i="1"/>
  <c r="K137" i="1"/>
  <c r="J137" i="1"/>
  <c r="K136" i="1"/>
  <c r="J136" i="1"/>
  <c r="K135" i="1"/>
  <c r="J135" i="1"/>
  <c r="K134" i="1"/>
  <c r="J134" i="1"/>
  <c r="K132" i="1"/>
  <c r="J132" i="1"/>
  <c r="K131" i="1"/>
  <c r="J131" i="1"/>
  <c r="K130" i="1"/>
  <c r="J130" i="1"/>
  <c r="K129" i="1"/>
  <c r="J129" i="1"/>
  <c r="K128" i="1"/>
  <c r="J128" i="1"/>
  <c r="K127" i="1"/>
  <c r="J127" i="1"/>
  <c r="B124" i="1"/>
  <c r="B120" i="1"/>
  <c r="J118" i="1"/>
  <c r="I118" i="1"/>
  <c r="J117" i="1"/>
  <c r="I117" i="1"/>
  <c r="J116" i="1"/>
  <c r="I116" i="1"/>
  <c r="J115" i="1"/>
  <c r="I115" i="1"/>
  <c r="J114" i="1"/>
  <c r="I114" i="1"/>
  <c r="J113" i="1"/>
  <c r="I113" i="1"/>
  <c r="C108" i="1"/>
  <c r="B106" i="1"/>
  <c r="J104" i="1"/>
  <c r="I104" i="1"/>
  <c r="J103" i="1"/>
  <c r="I103" i="1"/>
  <c r="J102" i="1"/>
  <c r="I102" i="1"/>
  <c r="J101" i="1"/>
  <c r="I101" i="1"/>
  <c r="B98" i="1"/>
  <c r="C96" i="1"/>
  <c r="B94" i="1"/>
  <c r="B88" i="1"/>
  <c r="C86" i="1"/>
  <c r="B84" i="1"/>
  <c r="E51" i="1"/>
  <c r="E50" i="1"/>
  <c r="F13" i="1"/>
  <c r="F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tc={bc1e8b1a-026f-426f-8c53-e73e887b8917}</author>
    <author>tc={42aafdfb-cfe0-4436-b16e-598d3db80cb5}</author>
  </authors>
  <commentList>
    <comment ref="B10" authorId="0" shapeId="0" xr:uid="{BC1E8B1A-026F-426F-8C53-E73E887B8917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Solo deje en blanco lo que es para poner los datos
</t>
        </r>
      </text>
    </comment>
    <comment ref="I100" authorId="1" shapeId="0" xr:uid="{42AAFDFB-CFE0-4436-B16E-598D3DB80CB5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Agregue lo que conversamos en la mñn
</t>
        </r>
      </text>
    </comment>
  </commentList>
</comments>
</file>

<file path=xl/sharedStrings.xml><?xml version="1.0" encoding="utf-8"?>
<sst xmlns="http://schemas.openxmlformats.org/spreadsheetml/2006/main" count="606" uniqueCount="303">
  <si>
    <t>FR-014 - V01</t>
  </si>
  <si>
    <t>INFORME DE PRUEBA DE SEGURIDAD ELÉCTRICA</t>
  </si>
  <si>
    <t>INFORME NÚMERO:</t>
  </si>
  <si>
    <t>SOLICITANTE:</t>
  </si>
  <si>
    <t>DIRECCIÓN:</t>
  </si>
  <si>
    <t>INFORMACIÓN DEL CONTACTO:</t>
  </si>
  <si>
    <t>EQUIPO:</t>
  </si>
  <si>
    <t>FABRICANTE:</t>
  </si>
  <si>
    <t>MODELO:</t>
  </si>
  <si>
    <t>NÚMERO DE SERIE:</t>
  </si>
  <si>
    <t>CÓDIGO INTERNO:</t>
  </si>
  <si>
    <t>FECHA RECEPCIÓN:</t>
  </si>
  <si>
    <t>FECHA DE MEDICIÓN:</t>
  </si>
  <si>
    <t>FECHA DE EMISIÓN:</t>
  </si>
  <si>
    <t>CONDICIONES AMBIENTALES</t>
  </si>
  <si>
    <t>Durante la medición, se midió la temperatura y humedad ambiental máximas y mínima. Los valores pomedios se reportan a continuación.</t>
  </si>
  <si>
    <t>TEMPERATURA</t>
  </si>
  <si>
    <t>HUMEDAD</t>
  </si>
  <si>
    <t>MÉTODO DE MEDICIÓN</t>
  </si>
  <si>
    <t>Para realizar esta prueba se siguen las especificaciones planteadas en la norma internacional ISO/IEC 60601-1.</t>
  </si>
  <si>
    <t>Según esta, los equipos se clasifican así:</t>
  </si>
  <si>
    <t>Según el tipo de protección contra descargas eléctricas</t>
  </si>
  <si>
    <t>A) Equipo alimentado internamente</t>
  </si>
  <si>
    <t>B) Equipo alimentado por una fuente externa de energía eléctrica.</t>
  </si>
  <si>
    <t xml:space="preserve">Equipo de clase I </t>
  </si>
  <si>
    <t>Incluye una medida de seguridad consistente en el conexionado del equipo conductor de protección a tierra, que forma parte del cableado fijo de la instalación, de forma que las partes accesibles no puedan hacerse activas en caso de fallo del aislamiento básico).</t>
  </si>
  <si>
    <t xml:space="preserve">Equipo de clase II </t>
  </si>
  <si>
    <t>Aislamiento doble o aislamiento reforzado, no existiendo provisión de puesta a tierra y confiando en las condiciones de la instalación.</t>
  </si>
  <si>
    <t>Según el grado de protección contra descargas eléctricas</t>
  </si>
  <si>
    <r>
      <rPr>
        <b/>
        <sz val="11"/>
        <color theme="1"/>
        <rFont val="Verdana"/>
      </rPr>
      <t xml:space="preserve">Equipo de Tipo B </t>
    </r>
    <r>
      <rPr>
        <sz val="11"/>
        <color theme="1"/>
        <rFont val="Verdana"/>
      </rPr>
      <t>(protección contra descargas eléctricas, particularmente con la Corriente de fuga permisible, y la fiabilidad de la conexión a tierra si la hubiese).</t>
    </r>
  </si>
  <si>
    <r>
      <rPr>
        <b/>
        <sz val="11"/>
        <color theme="1"/>
        <rFont val="Verdana"/>
      </rPr>
      <t xml:space="preserve">Equipo de Tipo BF </t>
    </r>
    <r>
      <rPr>
        <sz val="11"/>
        <color theme="1"/>
        <rFont val="Verdana"/>
      </rPr>
      <t>(equipo de tipo B, con parte aplicable de tipo F; flotante, parte aplicable aislada de todas las otras partes del equipo).</t>
    </r>
  </si>
  <si>
    <r>
      <rPr>
        <b/>
        <sz val="11"/>
        <color theme="1"/>
        <rFont val="Verdana"/>
      </rPr>
      <t>Equipo de Tipo CF</t>
    </r>
    <r>
      <rPr>
        <sz val="11"/>
        <color theme="1"/>
        <rFont val="Verdana"/>
      </rPr>
      <t xml:space="preserve"> (equipo que proporciona un mayor grado de protección contra Descargas eléctricas, que el equipo tipo BF, particularmente en relación con la corriente de fuga permisible, y dispone de una parte aplicable tipo F).</t>
    </r>
  </si>
  <si>
    <t>RESULTADOS DE LA MEDICIÓN</t>
  </si>
  <si>
    <t xml:space="preserve">Descripción: </t>
  </si>
  <si>
    <t>VALOR ESPERADO</t>
  </si>
  <si>
    <t xml:space="preserve">VALOR PROMEDIO MEDIDO PATRÓN </t>
  </si>
  <si>
    <t>APTO</t>
  </si>
  <si>
    <t>TIERRA</t>
  </si>
  <si>
    <t>POLARIDAD</t>
  </si>
  <si>
    <t>NEUTRO</t>
  </si>
  <si>
    <t>CONDICIÓN</t>
  </si>
  <si>
    <t>VALOR MEDIDO</t>
  </si>
  <si>
    <t>LÍMITE</t>
  </si>
  <si>
    <t>USO DEL LÍMITE (%)</t>
  </si>
  <si>
    <t>NORMAL</t>
  </si>
  <si>
    <t>CERRADO</t>
  </si>
  <si>
    <t>N.A.</t>
  </si>
  <si>
    <t>NC</t>
  </si>
  <si>
    <t>ABIERTO</t>
  </si>
  <si>
    <t>SFC</t>
  </si>
  <si>
    <t>INVERTIDA</t>
  </si>
  <si>
    <t>CHASIS</t>
  </si>
  <si>
    <t>Determinar posibles fallos en las derivaciones de ECG, cuando el equipo presenta.</t>
  </si>
  <si>
    <t>LATIGUILLOS</t>
  </si>
  <si>
    <t>ELECTRODOS</t>
  </si>
  <si>
    <t>RA</t>
  </si>
  <si>
    <t>LL</t>
  </si>
  <si>
    <t>LA</t>
  </si>
  <si>
    <t>RL</t>
  </si>
  <si>
    <t>V1</t>
  </si>
  <si>
    <t>NOTAS:</t>
  </si>
  <si>
    <r>
      <rPr>
        <b/>
        <sz val="11"/>
        <color rgb="FF000000"/>
        <rFont val="Verdana"/>
      </rPr>
      <t>-</t>
    </r>
    <r>
      <rPr>
        <sz val="11"/>
        <color rgb="FF000000"/>
        <rFont val="Verdana"/>
      </rPr>
      <t xml:space="preserve"> El "</t>
    </r>
    <r>
      <rPr>
        <i/>
        <sz val="11"/>
        <color rgb="FF000000"/>
        <rFont val="Verdana"/>
      </rPr>
      <t>VALOR PROMEDIO MEDIDO PATRÓN"</t>
    </r>
    <r>
      <rPr>
        <sz val="11"/>
        <color rgb="FF000000"/>
        <rFont val="Verdana"/>
      </rPr>
      <t>, corresponde a tres mediciones tomadas del equipo patrón.</t>
    </r>
  </si>
  <si>
    <r>
      <rPr>
        <b/>
        <sz val="11"/>
        <color rgb="FF000000"/>
        <rFont val="Verdana"/>
      </rPr>
      <t>-</t>
    </r>
    <r>
      <rPr>
        <sz val="11"/>
        <color rgb="FF000000"/>
        <rFont val="Verdana"/>
      </rPr>
      <t xml:space="preserve"> El </t>
    </r>
    <r>
      <rPr>
        <i/>
        <sz val="11"/>
        <color rgb="FF000000"/>
        <rFont val="Verdana"/>
      </rPr>
      <t>"VALOR MÁXIMO PERMITIDO"</t>
    </r>
    <r>
      <rPr>
        <sz val="11"/>
        <color rgb="FF000000"/>
        <rFont val="Verdana"/>
      </rPr>
      <t>, se obtiene de la norma internacional a la que se acoge esta prueba.</t>
    </r>
  </si>
  <si>
    <r>
      <rPr>
        <b/>
        <sz val="11"/>
        <color theme="1"/>
        <rFont val="Verdana"/>
      </rPr>
      <t xml:space="preserve">- </t>
    </r>
    <r>
      <rPr>
        <sz val="11"/>
        <color theme="1"/>
        <rFont val="Verdana"/>
      </rPr>
      <t>Los valores son reportados con la mismas cifras decimales de su indicación, los promedios con una adicional.</t>
    </r>
  </si>
  <si>
    <t>DESCARGO DE RESPONSABILIDADES</t>
  </si>
  <si>
    <t>TRAZABILIDAD</t>
  </si>
  <si>
    <t>El laboratorio de Metrología y Validación de Dispositivos Biomédicos PUCP asegura la trazabilidad de las mediciones al Sistema Internacional a través de patrones calibrados por laboratorios nacionales e internacionales.</t>
  </si>
  <si>
    <t>IDENTIFICACIÓN DEL INSTRUMENTO</t>
  </si>
  <si>
    <t>CERTIFICADO DE CALIBRACIÓN</t>
  </si>
  <si>
    <t>LABORATORIO CERTIFICADOR</t>
  </si>
  <si>
    <t>FECHA DE CALIBRACIÓN</t>
  </si>
  <si>
    <t>Los resultados desde informe son válidos únicamente para el equipo descrito en la página 1 de este informe.</t>
  </si>
  <si>
    <t>Los resultados obtenidos en el presente certificado se refieren al momento y condiciones en que se realizaron las mediciones. El Laboratorio de Metrología y Validación de Equipos Biomédicos PUCP, no se responsabiliza de los perjuicios que puedan derivarse del uso inadecuado de los instrumentos calibrados.</t>
  </si>
  <si>
    <t>El uso de los resultados es responsabilidad exclusiva del cliente.</t>
  </si>
  <si>
    <t>El cliente es responsable de calibrar sus equipos a intervalos adecuados.</t>
  </si>
  <si>
    <t>Está prohibida la reproducción total o parcial de este informe sin la autorización escrita del Laboratorio de Metrología y Validación de Equipos Biomédicos PUCP.</t>
  </si>
  <si>
    <t xml:space="preserve">Este informe no podrá ser sujeto a ningún cambio por parte del cliente, en todo o en parte, lo que comprende su traducción, adaptación, revisión, actualización, resumen, así como cualquier otro tipo de transformación; ni tampoco podrá ser modificado o mutilado por éste, sin la autorización previa y por escrito del  Laboratorio de Metrología y Validación de Equipos Biomédicos PUCP. </t>
  </si>
  <si>
    <t>FIRMAS AUTORIZADAS</t>
  </si>
  <si>
    <t>Medición realizada por:</t>
  </si>
  <si>
    <t>Aprobado por:</t>
  </si>
  <si>
    <t>FIN DEL INFORME</t>
  </si>
  <si>
    <t>NÚMERO INFORME</t>
  </si>
  <si>
    <t>SOLICITANTE</t>
  </si>
  <si>
    <t>DIRECCIÓN</t>
  </si>
  <si>
    <t>NOMBRE CONTACTO</t>
  </si>
  <si>
    <t>TELÉFONO</t>
  </si>
  <si>
    <t>EQUIPO</t>
  </si>
  <si>
    <t>FABRICANTE</t>
  </si>
  <si>
    <t>MODELO</t>
  </si>
  <si>
    <t>SERIE</t>
  </si>
  <si>
    <t>CÓDIGO INTERNO</t>
  </si>
  <si>
    <t>FECHA DE RECEPCIÓN</t>
  </si>
  <si>
    <t>FECHA DE MEDICIÓN</t>
  </si>
  <si>
    <t>SITIO DE CALIBRACIÓN</t>
  </si>
  <si>
    <t>CARDIOPERFUSION</t>
  </si>
  <si>
    <t>CONRADO DELGADO</t>
  </si>
  <si>
    <t xml:space="preserve">TORRE ENDOSCOPIA + VIDEO GASTROSCOPIO TERAPEUTICO </t>
  </si>
  <si>
    <t>FUJI</t>
  </si>
  <si>
    <t>EP 6000
EG-760CT</t>
  </si>
  <si>
    <t>2V696K311
7G411K149</t>
  </si>
  <si>
    <t>29-09-2022</t>
  </si>
  <si>
    <t>CLINICA CENTENARIO PERUANO JAPONESA</t>
  </si>
  <si>
    <t>MÍNIMA</t>
  </si>
  <si>
    <t>MÁXIMA</t>
  </si>
  <si>
    <t>PROMEDIO</t>
  </si>
  <si>
    <t>Temperatura (°C)</t>
  </si>
  <si>
    <t>Humedad (%hr)</t>
  </si>
  <si>
    <t>1.</t>
  </si>
  <si>
    <t>PRUEBA DE LÍNEA</t>
  </si>
  <si>
    <t xml:space="preserve">Patrón conectado a linea y equipo a analizar conectado a Patrón. Equipo de prueba apagado. </t>
  </si>
  <si>
    <t>V</t>
  </si>
  <si>
    <t xml:space="preserve">VALOR </t>
  </si>
  <si>
    <t>FASE A NEUTRO</t>
  </si>
  <si>
    <t>NEUTRO A TIERRA</t>
  </si>
  <si>
    <t>FASE A TIERRA</t>
  </si>
  <si>
    <t>220 ± 5%</t>
  </si>
  <si>
    <t xml:space="preserve">2. </t>
  </si>
  <si>
    <t>PRUEBA DE RESISTENCIA EN PROTECCIÓN A TIERRA:</t>
  </si>
  <si>
    <t>Para todos los equipos biomédicos y según norma internacional IEC 60601-1, no debe superar los 0,2 Ω</t>
  </si>
  <si>
    <t>Ω</t>
  </si>
  <si>
    <t>VALOR</t>
  </si>
  <si>
    <t>VALOR PATRÓN (1)</t>
  </si>
  <si>
    <t>VALOR PATRÓN (2)</t>
  </si>
  <si>
    <t>VALOR PATRÓN (3)</t>
  </si>
  <si>
    <t>PROMEDIO PATRÓN</t>
  </si>
  <si>
    <t>3.</t>
  </si>
  <si>
    <t>Determinar posibles fallas dependiendo de cada equipo</t>
  </si>
  <si>
    <t>3.1</t>
  </si>
  <si>
    <t>PRUEBA TIERRA</t>
  </si>
  <si>
    <t>µA</t>
  </si>
  <si>
    <t>EQUIPO BAJO PRUEBA</t>
  </si>
  <si>
    <t>FASE</t>
  </si>
  <si>
    <t>MÁXIMO PERMITIDO</t>
  </si>
  <si>
    <t>VALOR PATRÓN 1</t>
  </si>
  <si>
    <t>VALOR PATRÓN 2</t>
  </si>
  <si>
    <t>VALOR PATRÓN 3</t>
  </si>
  <si>
    <t>ON</t>
  </si>
  <si>
    <t>OFF</t>
  </si>
  <si>
    <t>3.2</t>
  </si>
  <si>
    <t>PRUEBA CHASÍS</t>
  </si>
  <si>
    <t xml:space="preserve">VALOR PATRÓN 2 </t>
  </si>
  <si>
    <t>PRUEBA LATIGUILLOS</t>
  </si>
  <si>
    <t>VALOR PATRÓN 1 (AC+DC)</t>
  </si>
  <si>
    <t>VALOR PATRÓN 2 (AC+DC)</t>
  </si>
  <si>
    <t>OBSERVACIONES</t>
  </si>
  <si>
    <t>Se deja el equipo en buenas condiciones de funcionalidad.</t>
  </si>
  <si>
    <t>Personal:</t>
  </si>
  <si>
    <t>Ingeniera Biomédica</t>
  </si>
  <si>
    <t>Mauricio Francisco Córdova Torres</t>
  </si>
  <si>
    <t>Ingeniero Electrónico</t>
  </si>
  <si>
    <t xml:space="preserve">Instrumentos Utilizados: </t>
  </si>
  <si>
    <t>PB-13 Analizador de seguridad eléctrica Fluke ESA 615</t>
  </si>
  <si>
    <t>Daniela Gómez Alzate</t>
  </si>
  <si>
    <t>Profesión</t>
  </si>
  <si>
    <t>Seleccione</t>
  </si>
  <si>
    <t>Elaboró:</t>
  </si>
  <si>
    <t>Revisó:</t>
  </si>
  <si>
    <t>Sandra Milena Pérez Buitrago</t>
  </si>
  <si>
    <t>PhD, Bioingeniera</t>
  </si>
  <si>
    <t>Jefe de Laboratorio</t>
  </si>
  <si>
    <t>CÓDIGO</t>
  </si>
  <si>
    <t>DESCRIPCIÓN</t>
  </si>
  <si>
    <t>FECHA CAL</t>
  </si>
  <si>
    <t>PROVEEDOR</t>
  </si>
  <si>
    <t>PB-12</t>
  </si>
  <si>
    <t>PB-12 Analizador de seguridad eléctrica Fluke ESA 615</t>
  </si>
  <si>
    <t>J10804-21</t>
  </si>
  <si>
    <t>SET&amp;GAD</t>
  </si>
  <si>
    <t>PB-13</t>
  </si>
  <si>
    <t>J0908-21</t>
  </si>
  <si>
    <t>PB-14</t>
  </si>
  <si>
    <t>PB-14 Analizador de seguridad eléctrica Fluke ESA 615</t>
  </si>
  <si>
    <t>J10904-21</t>
  </si>
  <si>
    <t>PB-15</t>
  </si>
  <si>
    <t>PB-15 Analizador de seguridad eléctrica Fluke ESA 615</t>
  </si>
  <si>
    <t>J1008-21</t>
  </si>
  <si>
    <r>
      <rPr>
        <b/>
        <sz val="11"/>
        <color theme="1"/>
        <rFont val="Verdana"/>
      </rPr>
      <t xml:space="preserve">Equipo de Tipo B </t>
    </r>
    <r>
      <rPr>
        <sz val="11"/>
        <color theme="1"/>
        <rFont val="Verdana"/>
      </rPr>
      <t>(protección contra descargas eléctricas, particularmente con la</t>
    </r>
  </si>
  <si>
    <t>Corriente de fuga permisible, y la fiabilidad de la conexión a tierra si la hubiese).</t>
  </si>
  <si>
    <r>
      <rPr>
        <b/>
        <sz val="11"/>
        <color theme="1"/>
        <rFont val="Verdana"/>
      </rPr>
      <t xml:space="preserve">Equipo de Tipo BF </t>
    </r>
    <r>
      <rPr>
        <sz val="11"/>
        <color theme="1"/>
        <rFont val="Verdana"/>
      </rPr>
      <t>(equipo de tipo B, con parte aplicable de tipo F; flotante, parte</t>
    </r>
  </si>
  <si>
    <t>Aplicable aislada de todas las otras partes del equipo).</t>
  </si>
  <si>
    <r>
      <rPr>
        <b/>
        <sz val="11"/>
        <color theme="1"/>
        <rFont val="Verdana"/>
      </rPr>
      <t>Equipo de Tipo CF</t>
    </r>
    <r>
      <rPr>
        <sz val="11"/>
        <color theme="1"/>
        <rFont val="Verdana"/>
      </rPr>
      <t xml:space="preserve"> (equipo que proporciona un mayor grado de protección contra</t>
    </r>
  </si>
  <si>
    <t>Descargas eléctricas, que el equipo tipo BF, particularmente en relación con la corriente de fuga permisible, y dispone de una parte aplicable tipo F).</t>
  </si>
  <si>
    <t>Versión</t>
  </si>
  <si>
    <t>Descripción</t>
  </si>
  <si>
    <t>Responsables</t>
  </si>
  <si>
    <t>Versión inicial.</t>
  </si>
  <si>
    <t>Elaboró: Daniela Gómez Alzate
2022-02-24
Aprobó: Sandra M. Pérez
2022-02-24</t>
  </si>
  <si>
    <t>AAAAACc9cck=</t>
  </si>
  <si>
    <t>AAAAACc9cco=</t>
  </si>
  <si>
    <t>AAAAACc9ccs=</t>
  </si>
  <si>
    <t>AAAAACc9ccw=</t>
  </si>
  <si>
    <t>AAAAACc9cc0=</t>
  </si>
  <si>
    <t>AAAAACc9cc4=</t>
  </si>
  <si>
    <t>AAAAACc9cc8=</t>
  </si>
  <si>
    <r>
      <rPr>
        <b/>
        <sz val="11"/>
        <color theme="1"/>
        <rFont val="Verdana"/>
        <family val="2"/>
      </rPr>
      <t>PRUEBA DE</t>
    </r>
    <r>
      <rPr>
        <b/>
        <sz val="11"/>
        <color theme="1"/>
        <rFont val="Verdana"/>
      </rPr>
      <t xml:space="preserve"> LÍNEA</t>
    </r>
  </si>
  <si>
    <t>PL</t>
  </si>
  <si>
    <t>PR</t>
  </si>
  <si>
    <t>TNC</t>
  </si>
  <si>
    <t>TNA</t>
  </si>
  <si>
    <t>TIC</t>
  </si>
  <si>
    <t>TIA</t>
  </si>
  <si>
    <t>CNCA</t>
  </si>
  <si>
    <t>CNCC</t>
  </si>
  <si>
    <t>CNAC</t>
  </si>
  <si>
    <t>CICC</t>
  </si>
  <si>
    <t>CIAC</t>
  </si>
  <si>
    <t>CICA</t>
  </si>
  <si>
    <t>LRANCC</t>
  </si>
  <si>
    <t>LRANCA</t>
  </si>
  <si>
    <t>LRANAC</t>
  </si>
  <si>
    <t>LRAICC</t>
  </si>
  <si>
    <t>LRAIAC</t>
  </si>
  <si>
    <t>LRAICA</t>
  </si>
  <si>
    <t>LLLNCC</t>
  </si>
  <si>
    <t>LLLNCA</t>
  </si>
  <si>
    <t>LLLNAC</t>
  </si>
  <si>
    <t>LLLICC</t>
  </si>
  <si>
    <t>LLLIAC</t>
  </si>
  <si>
    <t>LLLICA</t>
  </si>
  <si>
    <t>LLANCC</t>
  </si>
  <si>
    <t>LLANCA</t>
  </si>
  <si>
    <t>LLAICC</t>
  </si>
  <si>
    <t>LLAIAC</t>
  </si>
  <si>
    <t>LLAICA</t>
  </si>
  <si>
    <t>LLANAC</t>
  </si>
  <si>
    <t>LRLNCC</t>
  </si>
  <si>
    <t>LRLNCA</t>
  </si>
  <si>
    <t>LRLNAC</t>
  </si>
  <si>
    <t>LRLICC</t>
  </si>
  <si>
    <t>LRLIAC</t>
  </si>
  <si>
    <t>LRLICA</t>
  </si>
  <si>
    <t>LV1NCC</t>
  </si>
  <si>
    <t>LV1NCA</t>
  </si>
  <si>
    <t>LV1NAC</t>
  </si>
  <si>
    <t>LV1ICC</t>
  </si>
  <si>
    <t>LV1IAC</t>
  </si>
  <si>
    <t>LV1ICA</t>
  </si>
  <si>
    <t>LFN</t>
  </si>
  <si>
    <t>LNT</t>
  </si>
  <si>
    <t>LFT</t>
  </si>
  <si>
    <t>PR1</t>
  </si>
  <si>
    <t>PR2</t>
  </si>
  <si>
    <t>PR3</t>
  </si>
  <si>
    <t>TONC1</t>
  </si>
  <si>
    <t>TONC2</t>
  </si>
  <si>
    <t>TONC3</t>
  </si>
  <si>
    <t>TFNA1</t>
  </si>
  <si>
    <t>TFNA2</t>
  </si>
  <si>
    <t>TFNA3</t>
  </si>
  <si>
    <t>TFF1</t>
  </si>
  <si>
    <t>TFF2</t>
  </si>
  <si>
    <t>TFF3</t>
  </si>
  <si>
    <t>TFIA1</t>
  </si>
  <si>
    <t>TFIA2</t>
  </si>
  <si>
    <t>TFIA3</t>
  </si>
  <si>
    <t>TOIC1</t>
  </si>
  <si>
    <t>TOIC2</t>
  </si>
  <si>
    <t>TOIC3</t>
  </si>
  <si>
    <t>COICC1</t>
  </si>
  <si>
    <t>COICC2</t>
  </si>
  <si>
    <t>COICC3</t>
  </si>
  <si>
    <t>COICA1</t>
  </si>
  <si>
    <t>COICA2</t>
  </si>
  <si>
    <t>COICA3</t>
  </si>
  <si>
    <t>COIAA1</t>
  </si>
  <si>
    <t>COIAA2</t>
  </si>
  <si>
    <t>COIAA3</t>
  </si>
  <si>
    <t>COIAC1</t>
  </si>
  <si>
    <t>COIAC2</t>
  </si>
  <si>
    <t>COIAC3</t>
  </si>
  <si>
    <t>CONAC1</t>
  </si>
  <si>
    <t>CONAC2</t>
  </si>
  <si>
    <t>CONAC3</t>
  </si>
  <si>
    <t>COOA1</t>
  </si>
  <si>
    <t>COOA2</t>
  </si>
  <si>
    <t>COOA3</t>
  </si>
  <si>
    <t>COOC1</t>
  </si>
  <si>
    <t>COOC2</t>
  </si>
  <si>
    <t>COOC3</t>
  </si>
  <si>
    <t>CONCC1</t>
  </si>
  <si>
    <t>CONCC2</t>
  </si>
  <si>
    <t>CONCC3</t>
  </si>
  <si>
    <t>CONCA1</t>
  </si>
  <si>
    <t>CONCA2</t>
  </si>
  <si>
    <t>CONCA3</t>
  </si>
  <si>
    <t>CONAA1</t>
  </si>
  <si>
    <t>CONAA2</t>
  </si>
  <si>
    <t>CONAA3</t>
  </si>
  <si>
    <t>LONC1</t>
  </si>
  <si>
    <t>LONC2</t>
  </si>
  <si>
    <t>LONC3</t>
  </si>
  <si>
    <t>LONA1</t>
  </si>
  <si>
    <t>LONA2</t>
  </si>
  <si>
    <t>LONA3</t>
  </si>
  <si>
    <t>LOO1</t>
  </si>
  <si>
    <t>LOO2</t>
  </si>
  <si>
    <t>LOO3</t>
  </si>
  <si>
    <t>LOIA1</t>
  </si>
  <si>
    <t>LOIA2</t>
  </si>
  <si>
    <t>LOIA3</t>
  </si>
  <si>
    <t>LOIC1</t>
  </si>
  <si>
    <t>LOIC2</t>
  </si>
  <si>
    <t>LOIC3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</si>
</sst>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"/>
    <numFmt numFmtId="166" formatCode="0.000"/>
    <numFmt numFmtId="167" formatCode="0.0000"/>
  </numFmts>
  <fonts count="32">
    <font>
      <sz val="11"/>
      <color theme="1"/>
      <name val="Calibri"/>
      <scheme val="minor"/>
    </font>
    <font>
      <b/>
      <sz val="12"/>
      <color theme="1"/>
      <name val="Verdana"/>
    </font>
    <font>
      <sz val="11"/>
      <name val="Calibri"/>
    </font>
    <font>
      <sz val="12"/>
      <color theme="1"/>
      <name val="Verdana"/>
    </font>
    <font>
      <b/>
      <sz val="14"/>
      <color theme="1"/>
      <name val="Verdana"/>
    </font>
    <font>
      <sz val="11"/>
      <color theme="1"/>
      <name val="Verdana"/>
    </font>
    <font>
      <b/>
      <sz val="11"/>
      <color rgb="FF1F497D"/>
      <name val="Verdana"/>
    </font>
    <font>
      <i/>
      <sz val="11"/>
      <color rgb="FF548DD4"/>
      <name val="Verdana"/>
    </font>
    <font>
      <b/>
      <i/>
      <sz val="11"/>
      <color rgb="FF548DD4"/>
      <name val="Verdana"/>
    </font>
    <font>
      <b/>
      <sz val="11"/>
      <color theme="1"/>
      <name val="Verdana"/>
    </font>
    <font>
      <b/>
      <sz val="11"/>
      <color rgb="FF000000"/>
      <name val="Verdana"/>
    </font>
    <font>
      <sz val="11"/>
      <color rgb="FF000000"/>
      <name val="Verdana"/>
    </font>
    <font>
      <i/>
      <sz val="11"/>
      <color rgb="FF3366FF"/>
      <name val="Verdana"/>
    </font>
    <font>
      <i/>
      <sz val="11"/>
      <color rgb="FF000000"/>
      <name val="Verdana"/>
    </font>
    <font>
      <b/>
      <sz val="11"/>
      <color rgb="FF244061"/>
      <name val="Verdana"/>
    </font>
    <font>
      <b/>
      <sz val="11"/>
      <color theme="1"/>
      <name val="Verdana"/>
    </font>
    <font>
      <sz val="12"/>
      <color rgb="FF000000"/>
      <name val="Verdana"/>
    </font>
    <font>
      <sz val="12"/>
      <color rgb="FF000000"/>
      <name val="Arial"/>
    </font>
    <font>
      <b/>
      <sz val="10"/>
      <color rgb="FF244061"/>
      <name val="Verdana"/>
    </font>
    <font>
      <sz val="10"/>
      <color theme="1"/>
      <name val="Verdana"/>
    </font>
    <font>
      <b/>
      <sz val="10"/>
      <color rgb="FF000000"/>
      <name val="Verdana"/>
    </font>
    <font>
      <sz val="10"/>
      <color rgb="FF000000"/>
      <name val="Verdana"/>
    </font>
    <font>
      <sz val="11"/>
      <color theme="1"/>
      <name val="Calibri"/>
    </font>
    <font>
      <sz val="11"/>
      <color theme="1"/>
      <name val="Arial"/>
    </font>
    <font>
      <sz val="8"/>
      <color theme="1"/>
      <name val="Corbel"/>
    </font>
    <font>
      <b/>
      <sz val="11"/>
      <color theme="1"/>
      <name val="Calibri"/>
    </font>
    <font>
      <sz val="10"/>
      <color theme="1"/>
      <name val="Corbel"/>
    </font>
    <font>
      <sz val="11"/>
      <color theme="1"/>
      <name val="Corbel"/>
    </font>
    <font>
      <sz val="11"/>
      <color theme="1"/>
      <name val="Calibri"/>
      <scheme val="minor"/>
    </font>
    <font>
      <sz val="10"/>
      <color theme="1"/>
      <name val="Arial"/>
    </font>
    <font>
      <b/>
      <sz val="11"/>
      <color theme="1"/>
      <name val="Verdana"/>
      <family val="2"/>
    </font>
    <font>
      <sz val="11"/>
      <color theme="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BD4B4"/>
        <bgColor rgb="FFFBD4B4"/>
      </patternFill>
    </fill>
    <fill>
      <patternFill patternType="solid">
        <fgColor theme="8" tint="0.59999389629810485"/>
        <bgColor theme="0"/>
      </patternFill>
    </fill>
    <fill>
      <patternFill patternType="solid">
        <fgColor theme="8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04">
    <xf numFmtId="0" fontId="0" fillId="0" borderId="0" xfId="0"/>
    <xf numFmtId="0" fontId="3" fillId="2" borderId="6" xfId="0" applyFont="1" applyFill="1" applyBorder="1"/>
    <xf numFmtId="0" fontId="1" fillId="2" borderId="6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center"/>
    </xf>
    <xf numFmtId="0" fontId="5" fillId="2" borderId="6" xfId="0" applyFont="1" applyFill="1" applyBorder="1"/>
    <xf numFmtId="0" fontId="6" fillId="2" borderId="6" xfId="0" applyFont="1" applyFill="1" applyBorder="1" applyAlignment="1">
      <alignment horizontal="right"/>
    </xf>
    <xf numFmtId="0" fontId="5" fillId="2" borderId="6" xfId="0" applyFont="1" applyFill="1" applyBorder="1" applyAlignment="1">
      <alignment horizontal="left"/>
    </xf>
    <xf numFmtId="0" fontId="7" fillId="2" borderId="6" xfId="0" applyFont="1" applyFill="1" applyBorder="1" applyAlignment="1">
      <alignment horizontal="right"/>
    </xf>
    <xf numFmtId="0" fontId="8" fillId="2" borderId="6" xfId="0" applyFont="1" applyFill="1" applyBorder="1"/>
    <xf numFmtId="0" fontId="9" fillId="2" borderId="6" xfId="0" applyFont="1" applyFill="1" applyBorder="1"/>
    <xf numFmtId="0" fontId="6" fillId="2" borderId="6" xfId="0" applyFont="1" applyFill="1" applyBorder="1"/>
    <xf numFmtId="0" fontId="10" fillId="2" borderId="6" xfId="0" applyFont="1" applyFill="1" applyBorder="1" applyAlignment="1">
      <alignment horizontal="center"/>
    </xf>
    <xf numFmtId="0" fontId="7" fillId="2" borderId="6" xfId="0" applyFont="1" applyFill="1" applyBorder="1"/>
    <xf numFmtId="0" fontId="5" fillId="2" borderId="6" xfId="0" applyFont="1" applyFill="1" applyBorder="1" applyAlignment="1">
      <alignment vertical="top" wrapText="1"/>
    </xf>
    <xf numFmtId="0" fontId="5" fillId="2" borderId="6" xfId="0" applyFont="1" applyFill="1" applyBorder="1" applyAlignment="1">
      <alignment horizontal="left" vertical="top" wrapText="1"/>
    </xf>
    <xf numFmtId="0" fontId="5" fillId="2" borderId="6" xfId="0" applyFont="1" applyFill="1" applyBorder="1" applyAlignment="1">
      <alignment horizontal="left" vertical="top"/>
    </xf>
    <xf numFmtId="0" fontId="10" fillId="2" borderId="6" xfId="0" applyFont="1" applyFill="1" applyBorder="1"/>
    <xf numFmtId="0" fontId="11" fillId="2" borderId="6" xfId="0" applyFont="1" applyFill="1" applyBorder="1" applyAlignment="1">
      <alignment horizontal="left"/>
    </xf>
    <xf numFmtId="0" fontId="12" fillId="2" borderId="6" xfId="0" applyFont="1" applyFill="1" applyBorder="1"/>
    <xf numFmtId="0" fontId="10" fillId="2" borderId="6" xfId="0" applyFont="1" applyFill="1" applyBorder="1" applyAlignment="1">
      <alignment horizontal="right"/>
    </xf>
    <xf numFmtId="0" fontId="13" fillId="2" borderId="6" xfId="0" applyFont="1" applyFill="1" applyBorder="1"/>
    <xf numFmtId="164" fontId="5" fillId="2" borderId="6" xfId="0" applyNumberFormat="1" applyFont="1" applyFill="1" applyBorder="1" applyAlignment="1">
      <alignment horizontal="left"/>
    </xf>
    <xf numFmtId="0" fontId="14" fillId="2" borderId="6" xfId="0" applyFont="1" applyFill="1" applyBorder="1"/>
    <xf numFmtId="0" fontId="5" fillId="2" borderId="19" xfId="0" applyFont="1" applyFill="1" applyBorder="1"/>
    <xf numFmtId="0" fontId="5" fillId="2" borderId="24" xfId="0" applyFont="1" applyFill="1" applyBorder="1"/>
    <xf numFmtId="0" fontId="9" fillId="2" borderId="6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/>
    </xf>
    <xf numFmtId="0" fontId="5" fillId="2" borderId="27" xfId="0" applyFont="1" applyFill="1" applyBorder="1" applyAlignment="1">
      <alignment horizontal="center" vertical="center" wrapText="1"/>
    </xf>
    <xf numFmtId="2" fontId="5" fillId="2" borderId="26" xfId="0" applyNumberFormat="1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/>
    </xf>
    <xf numFmtId="0" fontId="5" fillId="2" borderId="26" xfId="0" applyFont="1" applyFill="1" applyBorder="1" applyAlignment="1">
      <alignment horizontal="center"/>
    </xf>
    <xf numFmtId="0" fontId="5" fillId="2" borderId="27" xfId="0" applyFont="1" applyFill="1" applyBorder="1" applyAlignment="1">
      <alignment horizontal="center" wrapText="1"/>
    </xf>
    <xf numFmtId="2" fontId="5" fillId="2" borderId="27" xfId="0" applyNumberFormat="1" applyFont="1" applyFill="1" applyBorder="1" applyAlignment="1">
      <alignment horizontal="center"/>
    </xf>
    <xf numFmtId="0" fontId="5" fillId="2" borderId="30" xfId="0" applyFont="1" applyFill="1" applyBorder="1"/>
    <xf numFmtId="0" fontId="3" fillId="2" borderId="18" xfId="0" applyFont="1" applyFill="1" applyBorder="1"/>
    <xf numFmtId="0" fontId="15" fillId="2" borderId="27" xfId="0" applyFont="1" applyFill="1" applyBorder="1" applyAlignment="1">
      <alignment horizontal="center" vertical="center"/>
    </xf>
    <xf numFmtId="2" fontId="9" fillId="2" borderId="27" xfId="0" applyNumberFormat="1" applyFont="1" applyFill="1" applyBorder="1" applyAlignment="1">
      <alignment horizontal="center" vertical="center" wrapText="1"/>
    </xf>
    <xf numFmtId="0" fontId="3" fillId="2" borderId="19" xfId="0" applyFont="1" applyFill="1" applyBorder="1"/>
    <xf numFmtId="2" fontId="5" fillId="2" borderId="27" xfId="0" applyNumberFormat="1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 wrapText="1"/>
    </xf>
    <xf numFmtId="2" fontId="5" fillId="2" borderId="24" xfId="0" applyNumberFormat="1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2" fontId="5" fillId="2" borderId="6" xfId="0" applyNumberFormat="1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left" vertical="center" wrapText="1"/>
    </xf>
    <xf numFmtId="0" fontId="11" fillId="2" borderId="6" xfId="0" applyFont="1" applyFill="1" applyBorder="1"/>
    <xf numFmtId="0" fontId="16" fillId="2" borderId="6" xfId="0" applyFont="1" applyFill="1" applyBorder="1" applyAlignment="1">
      <alignment wrapText="1"/>
    </xf>
    <xf numFmtId="0" fontId="11" fillId="2" borderId="6" xfId="0" applyFont="1" applyFill="1" applyBorder="1" applyAlignment="1">
      <alignment horizontal="left" wrapText="1"/>
    </xf>
    <xf numFmtId="0" fontId="11" fillId="2" borderId="6" xfId="0" applyFont="1" applyFill="1" applyBorder="1" applyAlignment="1">
      <alignment horizontal="left" vertical="center" wrapText="1"/>
    </xf>
    <xf numFmtId="0" fontId="17" fillId="2" borderId="6" xfId="0" applyFont="1" applyFill="1" applyBorder="1" applyAlignment="1">
      <alignment wrapText="1"/>
    </xf>
    <xf numFmtId="0" fontId="10" fillId="2" borderId="33" xfId="0" applyFont="1" applyFill="1" applyBorder="1"/>
    <xf numFmtId="0" fontId="9" fillId="2" borderId="33" xfId="0" applyFont="1" applyFill="1" applyBorder="1"/>
    <xf numFmtId="164" fontId="5" fillId="2" borderId="6" xfId="0" applyNumberFormat="1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164" fontId="11" fillId="2" borderId="6" xfId="0" applyNumberFormat="1" applyFont="1" applyFill="1" applyBorder="1" applyAlignment="1">
      <alignment horizontal="center" vertical="center" wrapText="1"/>
    </xf>
    <xf numFmtId="166" fontId="11" fillId="2" borderId="6" xfId="0" applyNumberFormat="1" applyFont="1" applyFill="1" applyBorder="1" applyAlignment="1">
      <alignment horizontal="center" vertical="center" wrapText="1"/>
    </xf>
    <xf numFmtId="0" fontId="18" fillId="2" borderId="27" xfId="0" applyFont="1" applyFill="1" applyBorder="1" applyAlignment="1">
      <alignment horizontal="center" vertical="center" wrapText="1"/>
    </xf>
    <xf numFmtId="0" fontId="19" fillId="3" borderId="27" xfId="0" applyFont="1" applyFill="1" applyBorder="1" applyAlignment="1">
      <alignment horizontal="center" vertical="center" wrapText="1"/>
    </xf>
    <xf numFmtId="164" fontId="19" fillId="3" borderId="27" xfId="0" applyNumberFormat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vertical="center"/>
    </xf>
    <xf numFmtId="0" fontId="11" fillId="2" borderId="6" xfId="0" applyFont="1" applyFill="1" applyBorder="1" applyAlignment="1">
      <alignment vertical="center"/>
    </xf>
    <xf numFmtId="49" fontId="5" fillId="2" borderId="6" xfId="0" applyNumberFormat="1" applyFont="1" applyFill="1" applyBorder="1" applyAlignment="1">
      <alignment horizontal="left" vertical="center"/>
    </xf>
    <xf numFmtId="0" fontId="5" fillId="2" borderId="6" xfId="0" applyFont="1" applyFill="1" applyBorder="1" applyAlignment="1">
      <alignment vertical="center"/>
    </xf>
    <xf numFmtId="49" fontId="5" fillId="2" borderId="6" xfId="0" applyNumberFormat="1" applyFont="1" applyFill="1" applyBorder="1" applyAlignment="1">
      <alignment vertical="center"/>
    </xf>
    <xf numFmtId="0" fontId="16" fillId="2" borderId="6" xfId="0" applyFont="1" applyFill="1" applyBorder="1" applyAlignment="1">
      <alignment vertical="center"/>
    </xf>
    <xf numFmtId="0" fontId="10" fillId="2" borderId="6" xfId="0" applyFont="1" applyFill="1" applyBorder="1" applyAlignment="1">
      <alignment vertical="center"/>
    </xf>
    <xf numFmtId="164" fontId="11" fillId="2" borderId="6" xfId="0" applyNumberFormat="1" applyFont="1" applyFill="1" applyBorder="1" applyAlignment="1">
      <alignment horizontal="left" vertical="center"/>
    </xf>
    <xf numFmtId="0" fontId="20" fillId="2" borderId="6" xfId="0" applyFont="1" applyFill="1" applyBorder="1" applyAlignment="1">
      <alignment vertical="center"/>
    </xf>
    <xf numFmtId="0" fontId="21" fillId="2" borderId="6" xfId="0" applyFont="1" applyFill="1" applyBorder="1" applyAlignment="1">
      <alignment vertical="center"/>
    </xf>
    <xf numFmtId="164" fontId="21" fillId="2" borderId="6" xfId="0" applyNumberFormat="1" applyFont="1" applyFill="1" applyBorder="1" applyAlignment="1">
      <alignment horizontal="left" vertical="center"/>
    </xf>
    <xf numFmtId="164" fontId="20" fillId="2" borderId="27" xfId="0" applyNumberFormat="1" applyFont="1" applyFill="1" applyBorder="1" applyAlignment="1">
      <alignment horizontal="center" vertical="center"/>
    </xf>
    <xf numFmtId="0" fontId="20" fillId="2" borderId="27" xfId="0" applyFont="1" applyFill="1" applyBorder="1" applyAlignment="1">
      <alignment horizontal="center" vertical="center"/>
    </xf>
    <xf numFmtId="0" fontId="21" fillId="2" borderId="27" xfId="0" applyFont="1" applyFill="1" applyBorder="1" applyAlignment="1">
      <alignment vertical="center"/>
    </xf>
    <xf numFmtId="165" fontId="21" fillId="3" borderId="27" xfId="0" applyNumberFormat="1" applyFont="1" applyFill="1" applyBorder="1" applyAlignment="1">
      <alignment horizontal="center" vertical="center"/>
    </xf>
    <xf numFmtId="165" fontId="19" fillId="2" borderId="27" xfId="0" applyNumberFormat="1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left" vertical="center"/>
    </xf>
    <xf numFmtId="165" fontId="11" fillId="2" borderId="6" xfId="0" applyNumberFormat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left"/>
    </xf>
    <xf numFmtId="0" fontId="9" fillId="2" borderId="34" xfId="0" applyFont="1" applyFill="1" applyBorder="1" applyAlignment="1">
      <alignment horizontal="center" vertical="center" wrapText="1"/>
    </xf>
    <xf numFmtId="0" fontId="5" fillId="3" borderId="27" xfId="0" applyFont="1" applyFill="1" applyBorder="1" applyAlignment="1">
      <alignment horizontal="center"/>
    </xf>
    <xf numFmtId="0" fontId="5" fillId="2" borderId="6" xfId="0" applyFont="1" applyFill="1" applyBorder="1" applyAlignment="1">
      <alignment wrapText="1"/>
    </xf>
    <xf numFmtId="0" fontId="19" fillId="0" borderId="0" xfId="0" applyFont="1"/>
    <xf numFmtId="2" fontId="5" fillId="2" borderId="6" xfId="0" applyNumberFormat="1" applyFont="1" applyFill="1" applyBorder="1" applyAlignment="1">
      <alignment horizontal="center"/>
    </xf>
    <xf numFmtId="0" fontId="9" fillId="2" borderId="6" xfId="0" applyFont="1" applyFill="1" applyBorder="1" applyAlignment="1">
      <alignment wrapText="1"/>
    </xf>
    <xf numFmtId="0" fontId="5" fillId="3" borderId="27" xfId="0" applyFont="1" applyFill="1" applyBorder="1" applyAlignment="1">
      <alignment horizontal="center" vertical="center" wrapText="1"/>
    </xf>
    <xf numFmtId="2" fontId="5" fillId="2" borderId="26" xfId="0" applyNumberFormat="1" applyFont="1" applyFill="1" applyBorder="1" applyAlignment="1">
      <alignment horizontal="center"/>
    </xf>
    <xf numFmtId="0" fontId="5" fillId="3" borderId="27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wrapText="1"/>
    </xf>
    <xf numFmtId="0" fontId="5" fillId="2" borderId="6" xfId="0" applyFont="1" applyFill="1" applyBorder="1" applyAlignment="1">
      <alignment horizontal="center" vertical="center"/>
    </xf>
    <xf numFmtId="2" fontId="5" fillId="2" borderId="6" xfId="0" applyNumberFormat="1" applyFont="1" applyFill="1" applyBorder="1" applyAlignment="1">
      <alignment horizontal="center" vertical="center"/>
    </xf>
    <xf numFmtId="0" fontId="5" fillId="3" borderId="33" xfId="0" applyFont="1" applyFill="1" applyBorder="1" applyAlignment="1">
      <alignment horizontal="left"/>
    </xf>
    <xf numFmtId="0" fontId="19" fillId="2" borderId="6" xfId="0" applyFont="1" applyFill="1" applyBorder="1"/>
    <xf numFmtId="166" fontId="11" fillId="2" borderId="6" xfId="0" applyNumberFormat="1" applyFont="1" applyFill="1" applyBorder="1" applyAlignment="1">
      <alignment wrapText="1"/>
    </xf>
    <xf numFmtId="0" fontId="11" fillId="2" borderId="6" xfId="0" applyFont="1" applyFill="1" applyBorder="1" applyAlignment="1">
      <alignment horizontal="center" vertical="center"/>
    </xf>
    <xf numFmtId="166" fontId="11" fillId="2" borderId="6" xfId="0" applyNumberFormat="1" applyFont="1" applyFill="1" applyBorder="1" applyAlignment="1">
      <alignment horizontal="left"/>
    </xf>
    <xf numFmtId="167" fontId="11" fillId="2" borderId="6" xfId="0" applyNumberFormat="1" applyFont="1" applyFill="1" applyBorder="1" applyAlignment="1">
      <alignment vertical="center"/>
    </xf>
    <xf numFmtId="167" fontId="21" fillId="2" borderId="6" xfId="0" applyNumberFormat="1" applyFont="1" applyFill="1" applyBorder="1" applyAlignment="1">
      <alignment vertical="center"/>
    </xf>
    <xf numFmtId="0" fontId="5" fillId="2" borderId="33" xfId="0" applyFont="1" applyFill="1" applyBorder="1"/>
    <xf numFmtId="166" fontId="11" fillId="2" borderId="6" xfId="0" applyNumberFormat="1" applyFont="1" applyFill="1" applyBorder="1" applyAlignment="1">
      <alignment horizontal="center" vertical="center"/>
    </xf>
    <xf numFmtId="167" fontId="11" fillId="2" borderId="6" xfId="0" applyNumberFormat="1" applyFont="1" applyFill="1" applyBorder="1" applyAlignment="1">
      <alignment horizontal="center" vertical="center"/>
    </xf>
    <xf numFmtId="3" fontId="11" fillId="2" borderId="6" xfId="0" applyNumberFormat="1" applyFont="1" applyFill="1" applyBorder="1" applyAlignment="1">
      <alignment horizontal="center" vertical="center"/>
    </xf>
    <xf numFmtId="0" fontId="22" fillId="2" borderId="6" xfId="0" applyFont="1" applyFill="1" applyBorder="1"/>
    <xf numFmtId="0" fontId="21" fillId="2" borderId="27" xfId="0" applyFont="1" applyFill="1" applyBorder="1" applyAlignment="1">
      <alignment horizontal="center" vertical="center"/>
    </xf>
    <xf numFmtId="0" fontId="19" fillId="2" borderId="27" xfId="0" applyFont="1" applyFill="1" applyBorder="1" applyAlignment="1">
      <alignment horizontal="center" vertical="center"/>
    </xf>
    <xf numFmtId="0" fontId="19" fillId="2" borderId="27" xfId="0" applyFont="1" applyFill="1" applyBorder="1" applyAlignment="1">
      <alignment horizontal="center" vertical="center" wrapText="1"/>
    </xf>
    <xf numFmtId="0" fontId="23" fillId="2" borderId="27" xfId="0" applyFont="1" applyFill="1" applyBorder="1" applyAlignment="1">
      <alignment horizontal="center" vertical="center"/>
    </xf>
    <xf numFmtId="164" fontId="5" fillId="2" borderId="27" xfId="0" applyNumberFormat="1" applyFont="1" applyFill="1" applyBorder="1" applyAlignment="1">
      <alignment horizontal="center" vertical="center"/>
    </xf>
    <xf numFmtId="0" fontId="22" fillId="2" borderId="27" xfId="0" applyFont="1" applyFill="1" applyBorder="1"/>
    <xf numFmtId="0" fontId="9" fillId="2" borderId="6" xfId="0" applyFont="1" applyFill="1" applyBorder="1" applyAlignment="1">
      <alignment horizontal="left" readingOrder="1"/>
    </xf>
    <xf numFmtId="0" fontId="24" fillId="2" borderId="6" xfId="0" applyFont="1" applyFill="1" applyBorder="1"/>
    <xf numFmtId="0" fontId="25" fillId="2" borderId="27" xfId="0" applyFont="1" applyFill="1" applyBorder="1" applyAlignment="1">
      <alignment horizontal="center" vertical="center"/>
    </xf>
    <xf numFmtId="0" fontId="26" fillId="2" borderId="6" xfId="0" applyFont="1" applyFill="1" applyBorder="1"/>
    <xf numFmtId="0" fontId="22" fillId="2" borderId="27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vertical="center" wrapText="1"/>
    </xf>
    <xf numFmtId="0" fontId="27" fillId="2" borderId="6" xfId="0" applyFont="1" applyFill="1" applyBorder="1"/>
    <xf numFmtId="0" fontId="22" fillId="2" borderId="27" xfId="0" applyFont="1" applyFill="1" applyBorder="1" applyAlignment="1">
      <alignment horizontal="center"/>
    </xf>
    <xf numFmtId="0" fontId="28" fillId="0" borderId="0" xfId="0" applyFont="1"/>
    <xf numFmtId="0" fontId="29" fillId="0" borderId="0" xfId="0" applyFont="1"/>
    <xf numFmtId="0" fontId="30" fillId="2" borderId="6" xfId="0" applyFont="1" applyFill="1" applyBorder="1"/>
    <xf numFmtId="2" fontId="5" fillId="4" borderId="27" xfId="0" applyNumberFormat="1" applyFont="1" applyFill="1" applyBorder="1" applyAlignment="1">
      <alignment horizontal="center"/>
    </xf>
    <xf numFmtId="2" fontId="5" fillId="4" borderId="27" xfId="0" applyNumberFormat="1" applyFont="1" applyFill="1" applyBorder="1" applyAlignment="1">
      <alignment horizontal="center" vertical="center" wrapText="1"/>
    </xf>
    <xf numFmtId="2" fontId="31" fillId="4" borderId="26" xfId="0" applyNumberFormat="1" applyFont="1" applyFill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7" xfId="0" applyFont="1" applyBorder="1"/>
    <xf numFmtId="0" fontId="2" fillId="0" borderId="8" xfId="0" applyFont="1" applyBorder="1"/>
    <xf numFmtId="0" fontId="3" fillId="2" borderId="3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5" xfId="0" applyFont="1" applyBorder="1"/>
    <xf numFmtId="0" fontId="4" fillId="2" borderId="9" xfId="0" applyFont="1" applyFill="1" applyBorder="1" applyAlignment="1">
      <alignment horizontal="center" vertical="top" wrapText="1"/>
    </xf>
    <xf numFmtId="0" fontId="2" fillId="0" borderId="10" xfId="0" applyFont="1" applyBorder="1"/>
    <xf numFmtId="0" fontId="2" fillId="0" borderId="11" xfId="0" applyFont="1" applyBorder="1"/>
    <xf numFmtId="0" fontId="9" fillId="2" borderId="18" xfId="0" applyFont="1" applyFill="1" applyBorder="1" applyAlignment="1">
      <alignment horizontal="left" vertical="center" wrapText="1"/>
    </xf>
    <xf numFmtId="0" fontId="2" fillId="0" borderId="20" xfId="0" applyFont="1" applyBorder="1"/>
    <xf numFmtId="0" fontId="2" fillId="0" borderId="19" xfId="0" applyFont="1" applyBorder="1"/>
    <xf numFmtId="0" fontId="5" fillId="2" borderId="18" xfId="0" applyFont="1" applyFill="1" applyBorder="1" applyAlignment="1">
      <alignment horizontal="left"/>
    </xf>
    <xf numFmtId="0" fontId="9" fillId="2" borderId="18" xfId="0" applyFont="1" applyFill="1" applyBorder="1" applyAlignment="1">
      <alignment horizontal="left" wrapText="1"/>
    </xf>
    <xf numFmtId="0" fontId="9" fillId="2" borderId="18" xfId="0" applyFont="1" applyFill="1" applyBorder="1" applyAlignment="1">
      <alignment horizontal="left"/>
    </xf>
    <xf numFmtId="0" fontId="10" fillId="3" borderId="37" xfId="0" applyFont="1" applyFill="1" applyBorder="1" applyAlignment="1">
      <alignment horizontal="left"/>
    </xf>
    <xf numFmtId="0" fontId="2" fillId="0" borderId="38" xfId="0" applyFont="1" applyBorder="1"/>
    <xf numFmtId="0" fontId="10" fillId="2" borderId="37" xfId="0" applyFont="1" applyFill="1" applyBorder="1" applyAlignment="1">
      <alignment horizontal="left"/>
    </xf>
    <xf numFmtId="0" fontId="11" fillId="3" borderId="18" xfId="0" applyFont="1" applyFill="1" applyBorder="1" applyAlignment="1">
      <alignment horizontal="left"/>
    </xf>
    <xf numFmtId="0" fontId="11" fillId="2" borderId="18" xfId="0" applyFont="1" applyFill="1" applyBorder="1" applyAlignment="1">
      <alignment horizontal="left"/>
    </xf>
    <xf numFmtId="0" fontId="9" fillId="2" borderId="25" xfId="0" applyFont="1" applyFill="1" applyBorder="1" applyAlignment="1">
      <alignment horizontal="center" vertical="center" wrapText="1"/>
    </xf>
    <xf numFmtId="0" fontId="2" fillId="0" borderId="28" xfId="0" applyFont="1" applyBorder="1"/>
    <xf numFmtId="0" fontId="2" fillId="0" borderId="29" xfId="0" applyFont="1" applyBorder="1"/>
    <xf numFmtId="0" fontId="5" fillId="3" borderId="35" xfId="0" applyFont="1" applyFill="1" applyBorder="1" applyAlignment="1">
      <alignment horizontal="left"/>
    </xf>
    <xf numFmtId="0" fontId="2" fillId="0" borderId="23" xfId="0" applyFont="1" applyBorder="1"/>
    <xf numFmtId="0" fontId="2" fillId="0" borderId="36" xfId="0" applyFont="1" applyBorder="1"/>
    <xf numFmtId="167" fontId="11" fillId="3" borderId="18" xfId="0" applyNumberFormat="1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center" vertical="center"/>
    </xf>
    <xf numFmtId="0" fontId="2" fillId="0" borderId="22" xfId="0" applyFont="1" applyBorder="1"/>
    <xf numFmtId="0" fontId="5" fillId="2" borderId="31" xfId="0" applyFont="1" applyFill="1" applyBorder="1" applyAlignment="1">
      <alignment horizontal="center"/>
    </xf>
    <xf numFmtId="0" fontId="0" fillId="0" borderId="0" xfId="0"/>
    <xf numFmtId="0" fontId="2" fillId="0" borderId="32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11" fillId="2" borderId="12" xfId="0" applyFont="1" applyFill="1" applyBorder="1" applyAlignment="1">
      <alignment horizontal="left" wrapText="1"/>
    </xf>
    <xf numFmtId="0" fontId="2" fillId="0" borderId="13" xfId="0" applyFont="1" applyBorder="1"/>
    <xf numFmtId="0" fontId="2" fillId="0" borderId="14" xfId="0" applyFont="1" applyBorder="1"/>
    <xf numFmtId="0" fontId="6" fillId="2" borderId="21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 vertical="center" wrapText="1"/>
    </xf>
    <xf numFmtId="164" fontId="5" fillId="2" borderId="21" xfId="0" applyNumberFormat="1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left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0" fillId="2" borderId="18" xfId="0" applyFont="1" applyFill="1" applyBorder="1" applyAlignment="1">
      <alignment horizontal="left"/>
    </xf>
    <xf numFmtId="0" fontId="5" fillId="2" borderId="12" xfId="0" applyFont="1" applyFill="1" applyBorder="1" applyAlignment="1">
      <alignment horizontal="left" vertical="top" wrapText="1"/>
    </xf>
    <xf numFmtId="164" fontId="5" fillId="2" borderId="18" xfId="0" applyNumberFormat="1" applyFont="1" applyFill="1" applyBorder="1" applyAlignment="1">
      <alignment horizontal="left"/>
    </xf>
    <xf numFmtId="0" fontId="10" fillId="2" borderId="21" xfId="0" applyFont="1" applyFill="1" applyBorder="1" applyAlignment="1">
      <alignment horizontal="center" vertical="center"/>
    </xf>
    <xf numFmtId="165" fontId="11" fillId="2" borderId="21" xfId="0" applyNumberFormat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left" vertical="center" wrapText="1" readingOrder="1"/>
    </xf>
    <xf numFmtId="0" fontId="5" fillId="2" borderId="3" xfId="0" applyFont="1" applyFill="1" applyBorder="1" applyAlignment="1">
      <alignment horizontal="left" vertical="center" wrapText="1" readingOrder="1"/>
    </xf>
    <xf numFmtId="0" fontId="5" fillId="2" borderId="9" xfId="0" applyFont="1" applyFill="1" applyBorder="1" applyAlignment="1">
      <alignment horizontal="left" vertical="center" wrapText="1" readingOrder="1"/>
    </xf>
    <xf numFmtId="0" fontId="9" fillId="2" borderId="9" xfId="0" applyFont="1" applyFill="1" applyBorder="1" applyAlignment="1">
      <alignment horizontal="left" vertical="center" wrapText="1" readingOrder="1"/>
    </xf>
    <xf numFmtId="0" fontId="5" fillId="2" borderId="21" xfId="0" applyFont="1" applyFill="1" applyBorder="1" applyAlignment="1">
      <alignment horizontal="left" vertical="center" wrapText="1" readingOrder="1"/>
    </xf>
    <xf numFmtId="0" fontId="9" fillId="2" borderId="21" xfId="0" applyFont="1" applyFill="1" applyBorder="1" applyAlignment="1">
      <alignment horizontal="left" vertical="center" wrapText="1" readingOrder="1"/>
    </xf>
    <xf numFmtId="0" fontId="9" fillId="2" borderId="21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 wrapText="1"/>
    </xf>
    <xf numFmtId="0" fontId="31" fillId="4" borderId="21" xfId="0" applyFont="1" applyFill="1" applyBorder="1" applyAlignment="1">
      <alignment horizontal="center"/>
    </xf>
    <xf numFmtId="0" fontId="2" fillId="5" borderId="22" xfId="0" applyFont="1" applyFill="1" applyBorder="1"/>
    <xf numFmtId="0" fontId="5" fillId="2" borderId="21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/>
    </xf>
    <xf numFmtId="0" fontId="9" fillId="2" borderId="21" xfId="0" applyFont="1" applyFill="1" applyBorder="1" applyAlignment="1">
      <alignment horizontal="left" vertical="top" wrapText="1" readingOrder="1"/>
    </xf>
    <xf numFmtId="0" fontId="5" fillId="2" borderId="21" xfId="0" applyFont="1" applyFill="1" applyBorder="1" applyAlignment="1">
      <alignment horizontal="left" vertical="top" wrapText="1" readingOrder="1"/>
    </xf>
    <xf numFmtId="0" fontId="5" fillId="2" borderId="18" xfId="0" applyFont="1" applyFill="1" applyBorder="1" applyAlignment="1">
      <alignment horizontal="center" wrapText="1" readingOrder="1"/>
    </xf>
    <xf numFmtId="0" fontId="9" fillId="2" borderId="21" xfId="0" applyFont="1" applyFill="1" applyBorder="1" applyAlignment="1">
      <alignment horizontal="center" wrapText="1" readingOrder="1"/>
    </xf>
    <xf numFmtId="0" fontId="5" fillId="2" borderId="21" xfId="0" applyFont="1" applyFill="1" applyBorder="1" applyAlignment="1">
      <alignment horizontal="left" wrapText="1" readingOrder="1"/>
    </xf>
    <xf numFmtId="0" fontId="22" fillId="2" borderId="2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0" fontId="25" fillId="2" borderId="21" xfId="0" applyFont="1" applyFill="1" applyBorder="1" applyAlignment="1">
      <alignment horizontal="center" vertical="center"/>
    </xf>
    <xf numFmtId="0" fontId="22" fillId="2" borderId="21" xfId="0" applyFont="1" applyFill="1" applyBorder="1" applyAlignment="1">
      <alignment horizontal="left" vertical="center"/>
    </xf>
  </cellXfs>
  <cellStyles count="1">
    <cellStyle name="Normal" xfId="0" builtinId="0"/>
  </cellStyles>
  <dxfs count="14"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57150</xdr:rowOff>
    </xdr:from>
    <xdr:ext cx="1771650" cy="9334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219075</xdr:colOff>
      <xdr:row>0</xdr:row>
      <xdr:rowOff>85725</xdr:rowOff>
    </xdr:from>
    <xdr:ext cx="2000250" cy="1057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600075</xdr:colOff>
      <xdr:row>3</xdr:row>
      <xdr:rowOff>180975</xdr:rowOff>
    </xdr:from>
    <xdr:ext cx="2505075" cy="2514600"/>
    <xdr:pic>
      <xdr:nvPicPr>
        <xdr:cNvPr id="2" name="image2.jpg" descr="Calsificación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47625</xdr:rowOff>
    </xdr:from>
    <xdr:ext cx="1981200" cy="10382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Nataly Deledesma Romero" id="{d1203998-7e23-4fd6-af83-a87ebc08de33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100" dT="2026-02-28T04:12:51.00" personId="{d1203998-7e23-4fd6-af83-a87ebc08de33}" id="{42aafdfb-cfe0-4436-b16e-598d3db80cb5}" done="1">
    <x18tc:text xml:space="preserve">Agregue lo que conversamos en la mñn</x18tc:text>
  </x18tc:threadedComment>
  <x18tc:threadedComment ref="B10" dT="2026-02-28T04:00:55.00" personId="{d1203998-7e23-4fd6-af83-a87ebc08de33}" id="{bc1e8b1a-026f-426f-8c53-e73e887b8917}" done="1">
    <x18tc:text xml:space="preserve">Solo deje en blanco lo que es para poner los datos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microsoft.com/office/2017/10/relationships/threadedComment" Target="../threadedComments/threadedComment1.xml"/><Relationship Id="rId5" Type="http://schemas.microsoft.com/office/2019/04/relationships/documenttask" Target="../documenttasks/documenttask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22"/>
  <sheetViews>
    <sheetView tabSelected="1" topLeftCell="A80" workbookViewId="0">
      <selection activeCell="O151" sqref="O151"/>
    </sheetView>
  </sheetViews>
  <sheetFormatPr baseColWidth="10" defaultColWidth="14.44140625" defaultRowHeight="15" customHeight="1"/>
  <cols>
    <col min="1" max="1" width="10.5546875" customWidth="1"/>
    <col min="2" max="2" width="21.88671875" customWidth="1"/>
    <col min="3" max="3" width="17.33203125" customWidth="1"/>
    <col min="4" max="4" width="21" customWidth="1"/>
    <col min="5" max="5" width="14.33203125" customWidth="1"/>
    <col min="6" max="6" width="16.109375" customWidth="1"/>
    <col min="7" max="7" width="16.33203125" customWidth="1"/>
    <col min="8" max="8" width="22.44140625" customWidth="1"/>
    <col min="9" max="9" width="17.33203125" customWidth="1"/>
    <col min="10" max="10" width="23" customWidth="1"/>
    <col min="11" max="11" width="28.44140625" customWidth="1"/>
    <col min="12" max="27" width="11.44140625" customWidth="1"/>
  </cols>
  <sheetData>
    <row r="1" spans="1:27" ht="39.75" customHeight="1">
      <c r="A1" s="130"/>
      <c r="B1" s="131"/>
      <c r="C1" s="134" t="s">
        <v>0</v>
      </c>
      <c r="D1" s="135"/>
      <c r="E1" s="135"/>
      <c r="F1" s="135"/>
      <c r="G1" s="135"/>
      <c r="H1" s="135"/>
      <c r="I1" s="135"/>
      <c r="J1" s="135"/>
      <c r="K1" s="136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42" customHeight="1">
      <c r="A2" s="132"/>
      <c r="B2" s="133"/>
      <c r="C2" s="137" t="s">
        <v>1</v>
      </c>
      <c r="D2" s="138"/>
      <c r="E2" s="138"/>
      <c r="F2" s="138"/>
      <c r="G2" s="138"/>
      <c r="H2" s="138"/>
      <c r="I2" s="138"/>
      <c r="J2" s="138"/>
      <c r="K2" s="139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7.399999999999999">
      <c r="A3" s="2"/>
      <c r="B3" s="3"/>
      <c r="C3" s="3"/>
      <c r="D3" s="3"/>
      <c r="E3" s="3"/>
      <c r="F3" s="3"/>
      <c r="G3" s="3"/>
      <c r="H3" s="3"/>
      <c r="I3" s="4"/>
      <c r="J3" s="4"/>
      <c r="K3" s="4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6.2">
      <c r="A4" s="1"/>
      <c r="B4" s="5"/>
      <c r="C4" s="5"/>
      <c r="D4" s="5"/>
      <c r="E4" s="5"/>
      <c r="F4" s="5"/>
      <c r="G4" s="5"/>
      <c r="H4" s="5"/>
      <c r="I4" s="5"/>
      <c r="J4" s="5"/>
      <c r="K4" s="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6.2">
      <c r="A5" s="1"/>
      <c r="B5" s="5"/>
      <c r="C5" s="5"/>
      <c r="D5" s="5"/>
      <c r="E5" s="6" t="s">
        <v>2</v>
      </c>
      <c r="F5" s="7">
        <f>+Datos!A5</f>
        <v>0</v>
      </c>
      <c r="G5" s="5"/>
      <c r="H5" s="5"/>
      <c r="I5" s="5"/>
      <c r="J5" s="5"/>
      <c r="K5" s="5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6.2">
      <c r="A6" s="1"/>
      <c r="B6" s="5"/>
      <c r="C6" s="8"/>
      <c r="D6" s="8"/>
      <c r="E6" s="9"/>
      <c r="F6" s="5"/>
      <c r="G6" s="5"/>
      <c r="H6" s="5"/>
      <c r="I6" s="5"/>
      <c r="J6" s="5"/>
      <c r="K6" s="5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6.2">
      <c r="A7" s="1"/>
      <c r="B7" s="5"/>
      <c r="C7" s="8"/>
      <c r="D7" s="8"/>
      <c r="E7" s="9"/>
      <c r="F7" s="5"/>
      <c r="G7" s="5"/>
      <c r="H7" s="5"/>
      <c r="I7" s="5"/>
      <c r="J7" s="5"/>
      <c r="K7" s="5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6.2" hidden="1">
      <c r="A8" s="1"/>
      <c r="B8" s="5"/>
      <c r="C8" s="8"/>
      <c r="D8" s="8"/>
      <c r="E8" s="9"/>
      <c r="F8" s="5"/>
      <c r="G8" s="5"/>
      <c r="H8" s="5"/>
      <c r="I8" s="5"/>
      <c r="J8" s="5"/>
      <c r="K8" s="5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6.2">
      <c r="A9" s="1"/>
      <c r="B9" s="5"/>
      <c r="C9" s="5"/>
      <c r="D9" s="5"/>
      <c r="E9" s="10"/>
      <c r="F9" s="5"/>
      <c r="G9" s="5"/>
      <c r="H9" s="5"/>
      <c r="I9" s="5"/>
      <c r="J9" s="5"/>
      <c r="K9" s="5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6.2">
      <c r="A10" s="1"/>
      <c r="B10" s="11" t="s">
        <v>3</v>
      </c>
      <c r="C10" s="5"/>
      <c r="D10" s="5"/>
      <c r="E10" s="12"/>
      <c r="F10" s="176"/>
      <c r="G10" s="167"/>
      <c r="H10" s="167"/>
      <c r="I10" s="167"/>
      <c r="J10" s="167"/>
      <c r="K10" s="168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6.2">
      <c r="A11" s="1"/>
      <c r="B11" s="11"/>
      <c r="C11" s="5"/>
      <c r="D11" s="5"/>
      <c r="E11" s="12"/>
      <c r="F11" s="163"/>
      <c r="G11" s="164"/>
      <c r="H11" s="164"/>
      <c r="I11" s="164"/>
      <c r="J11" s="164"/>
      <c r="K11" s="165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6.2">
      <c r="A12" s="1"/>
      <c r="B12" s="13"/>
      <c r="C12" s="5"/>
      <c r="D12" s="5"/>
      <c r="E12" s="12"/>
      <c r="F12" s="14"/>
      <c r="G12" s="14"/>
      <c r="H12" s="14"/>
      <c r="I12" s="14"/>
      <c r="J12" s="14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6.2">
      <c r="A13" s="1"/>
      <c r="B13" s="11" t="s">
        <v>4</v>
      </c>
      <c r="C13" s="5"/>
      <c r="D13" s="5"/>
      <c r="E13" s="12"/>
      <c r="F13" s="15">
        <f>+Datos!C5</f>
        <v>0</v>
      </c>
      <c r="G13" s="15"/>
      <c r="H13" s="15"/>
      <c r="I13" s="15"/>
      <c r="J13" s="15"/>
      <c r="K13" s="15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6.2">
      <c r="A14" s="1"/>
      <c r="B14" s="13"/>
      <c r="C14" s="5"/>
      <c r="D14" s="5"/>
      <c r="E14" s="12"/>
      <c r="F14" s="15"/>
      <c r="G14" s="15"/>
      <c r="H14" s="15"/>
      <c r="I14" s="15"/>
      <c r="J14" s="15"/>
      <c r="K14" s="1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6.2">
      <c r="A15" s="1"/>
      <c r="B15" s="13"/>
      <c r="C15" s="5"/>
      <c r="D15" s="5"/>
      <c r="E15" s="12"/>
      <c r="F15" s="16"/>
      <c r="G15" s="16"/>
      <c r="H15" s="16"/>
      <c r="I15" s="16"/>
      <c r="J15" s="16"/>
      <c r="K15" s="1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6.2">
      <c r="A16" s="1"/>
      <c r="B16" s="11" t="s">
        <v>5</v>
      </c>
      <c r="C16" s="17"/>
      <c r="D16" s="17"/>
      <c r="E16" s="12"/>
      <c r="F16" s="18"/>
      <c r="G16" s="16"/>
      <c r="H16" s="16"/>
      <c r="I16" s="16"/>
      <c r="J16" s="16"/>
      <c r="K16" s="16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6.2">
      <c r="A17" s="1"/>
      <c r="B17" s="19"/>
      <c r="C17" s="17"/>
      <c r="D17" s="17"/>
      <c r="E17" s="20"/>
      <c r="F17" s="18"/>
      <c r="G17" s="16"/>
      <c r="H17" s="16"/>
      <c r="I17" s="16"/>
      <c r="J17" s="16"/>
      <c r="K17" s="16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6.2">
      <c r="A18" s="1"/>
      <c r="B18" s="19"/>
      <c r="C18" s="17"/>
      <c r="D18" s="17"/>
      <c r="E18" s="20"/>
      <c r="F18" s="18"/>
      <c r="G18" s="16"/>
      <c r="H18" s="16"/>
      <c r="I18" s="16"/>
      <c r="J18" s="16"/>
      <c r="K18" s="16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6.2">
      <c r="A19" s="1"/>
      <c r="B19" s="21"/>
      <c r="C19" s="5"/>
      <c r="D19" s="5"/>
      <c r="E19" s="12"/>
      <c r="F19" s="5"/>
      <c r="G19" s="5"/>
      <c r="H19" s="5"/>
      <c r="I19" s="5"/>
      <c r="J19" s="5"/>
      <c r="K19" s="5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6.2">
      <c r="A20" s="1"/>
      <c r="B20" s="11" t="s">
        <v>6</v>
      </c>
      <c r="C20" s="5"/>
      <c r="D20" s="5"/>
      <c r="E20" s="12"/>
      <c r="F20" s="7"/>
      <c r="G20" s="5"/>
      <c r="H20" s="5"/>
      <c r="I20" s="5"/>
      <c r="J20" s="5"/>
      <c r="K20" s="5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>
      <c r="A21" s="1"/>
      <c r="B21" s="13"/>
      <c r="C21" s="5"/>
      <c r="D21" s="5"/>
      <c r="E21" s="12"/>
      <c r="F21" s="7"/>
      <c r="G21" s="5"/>
      <c r="H21" s="5"/>
      <c r="I21" s="5"/>
      <c r="J21" s="5"/>
      <c r="K21" s="5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>
      <c r="A22" s="1"/>
      <c r="B22" s="17"/>
      <c r="C22" s="5"/>
      <c r="D22" s="5"/>
      <c r="E22" s="12"/>
      <c r="F22" s="7"/>
      <c r="G22" s="5"/>
      <c r="H22" s="5"/>
      <c r="I22" s="5"/>
      <c r="J22" s="5"/>
      <c r="K22" s="5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>
      <c r="A23" s="1"/>
      <c r="B23" s="11" t="s">
        <v>7</v>
      </c>
      <c r="C23" s="5"/>
      <c r="D23" s="5"/>
      <c r="E23" s="12"/>
      <c r="F23" s="7"/>
      <c r="G23" s="5"/>
      <c r="H23" s="5"/>
      <c r="I23" s="5"/>
      <c r="J23" s="5"/>
      <c r="K23" s="5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>
      <c r="A24" s="1"/>
      <c r="B24" s="13"/>
      <c r="C24" s="5"/>
      <c r="D24" s="5"/>
      <c r="E24" s="12"/>
      <c r="F24" s="7"/>
      <c r="G24" s="5"/>
      <c r="H24" s="5"/>
      <c r="I24" s="5"/>
      <c r="J24" s="5"/>
      <c r="K24" s="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>
      <c r="A25" s="1"/>
      <c r="B25" s="17"/>
      <c r="C25" s="5"/>
      <c r="D25" s="5"/>
      <c r="E25" s="12"/>
      <c r="F25" s="7"/>
      <c r="G25" s="5"/>
      <c r="H25" s="5"/>
      <c r="I25" s="5"/>
      <c r="J25" s="5"/>
      <c r="K25" s="5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>
      <c r="A26" s="1"/>
      <c r="B26" s="11" t="s">
        <v>8</v>
      </c>
      <c r="C26" s="5"/>
      <c r="D26" s="5"/>
      <c r="E26" s="12"/>
      <c r="F26" s="7"/>
      <c r="G26" s="5"/>
      <c r="H26" s="5"/>
      <c r="I26" s="5"/>
      <c r="J26" s="5"/>
      <c r="K26" s="5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>
      <c r="A27" s="1"/>
      <c r="B27" s="13"/>
      <c r="C27" s="5"/>
      <c r="D27" s="5"/>
      <c r="E27" s="12"/>
      <c r="F27" s="5"/>
      <c r="G27" s="5"/>
      <c r="H27" s="5"/>
      <c r="I27" s="5"/>
      <c r="J27" s="5"/>
      <c r="K27" s="5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>
      <c r="A28" s="1"/>
      <c r="B28" s="17"/>
      <c r="C28" s="5"/>
      <c r="D28" s="5"/>
      <c r="E28" s="12"/>
      <c r="F28" s="5"/>
      <c r="G28" s="5"/>
      <c r="H28" s="5"/>
      <c r="I28" s="5"/>
      <c r="J28" s="5"/>
      <c r="K28" s="5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>
      <c r="A29" s="1"/>
      <c r="B29" s="11" t="s">
        <v>9</v>
      </c>
      <c r="C29" s="5"/>
      <c r="D29" s="5"/>
      <c r="E29" s="12"/>
      <c r="F29" s="7"/>
      <c r="G29" s="5"/>
      <c r="H29" s="5"/>
      <c r="I29" s="5"/>
      <c r="J29" s="5"/>
      <c r="K29" s="5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>
      <c r="A30" s="1"/>
      <c r="B30" s="13"/>
      <c r="C30" s="5"/>
      <c r="D30" s="5"/>
      <c r="E30" s="12"/>
      <c r="F30" s="5"/>
      <c r="G30" s="5"/>
      <c r="H30" s="5"/>
      <c r="I30" s="5"/>
      <c r="J30" s="5"/>
      <c r="K30" s="5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>
      <c r="A31" s="1"/>
      <c r="B31" s="17"/>
      <c r="C31" s="5"/>
      <c r="D31" s="5"/>
      <c r="E31" s="12"/>
      <c r="F31" s="5"/>
      <c r="G31" s="5"/>
      <c r="H31" s="5"/>
      <c r="I31" s="5"/>
      <c r="J31" s="5"/>
      <c r="K31" s="5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>
      <c r="A32" s="1"/>
      <c r="B32" s="11" t="s">
        <v>10</v>
      </c>
      <c r="C32" s="5"/>
      <c r="D32" s="5"/>
      <c r="E32" s="12"/>
      <c r="F32" s="7"/>
      <c r="G32" s="5"/>
      <c r="H32" s="5"/>
      <c r="I32" s="5"/>
      <c r="J32" s="5"/>
      <c r="K32" s="5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>
      <c r="A33" s="1"/>
      <c r="B33" s="13"/>
      <c r="C33" s="5"/>
      <c r="D33" s="5"/>
      <c r="E33" s="12"/>
      <c r="F33" s="5"/>
      <c r="G33" s="5"/>
      <c r="H33" s="5"/>
      <c r="I33" s="5"/>
      <c r="J33" s="5"/>
      <c r="K33" s="5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>
      <c r="A34" s="1"/>
      <c r="B34" s="13"/>
      <c r="C34" s="5"/>
      <c r="D34" s="5"/>
      <c r="E34" s="12"/>
      <c r="F34" s="5"/>
      <c r="G34" s="5"/>
      <c r="H34" s="5"/>
      <c r="I34" s="5"/>
      <c r="J34" s="5"/>
      <c r="K34" s="5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>
      <c r="A35" s="1"/>
      <c r="B35" s="11" t="s">
        <v>11</v>
      </c>
      <c r="C35" s="5"/>
      <c r="D35" s="5"/>
      <c r="E35" s="12"/>
      <c r="F35" s="177"/>
      <c r="G35" s="142"/>
      <c r="H35" s="5"/>
      <c r="I35" s="5"/>
      <c r="J35" s="5"/>
      <c r="K35" s="5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>
      <c r="A36" s="1"/>
      <c r="B36" s="13"/>
      <c r="C36" s="5"/>
      <c r="D36" s="5"/>
      <c r="E36" s="12"/>
      <c r="F36" s="5"/>
      <c r="G36" s="5"/>
      <c r="H36" s="5"/>
      <c r="I36" s="5"/>
      <c r="J36" s="5"/>
      <c r="K36" s="5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>
      <c r="A37" s="1"/>
      <c r="B37" s="13"/>
      <c r="C37" s="5"/>
      <c r="D37" s="5"/>
      <c r="E37" s="12"/>
      <c r="F37" s="5"/>
      <c r="G37" s="5"/>
      <c r="H37" s="5"/>
      <c r="I37" s="5"/>
      <c r="J37" s="5"/>
      <c r="K37" s="5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>
      <c r="A38" s="1"/>
      <c r="B38" s="11" t="s">
        <v>12</v>
      </c>
      <c r="C38" s="5"/>
      <c r="D38" s="5"/>
      <c r="E38" s="12"/>
      <c r="F38" s="177"/>
      <c r="G38" s="142"/>
      <c r="H38" s="5"/>
      <c r="I38" s="5"/>
      <c r="J38" s="5"/>
      <c r="K38" s="5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>
      <c r="A39" s="1"/>
      <c r="B39" s="13"/>
      <c r="C39" s="5"/>
      <c r="D39" s="5"/>
      <c r="E39" s="12"/>
      <c r="F39" s="5"/>
      <c r="G39" s="5"/>
      <c r="H39" s="5"/>
      <c r="I39" s="5"/>
      <c r="J39" s="5"/>
      <c r="K39" s="5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>
      <c r="A40" s="1"/>
      <c r="B40" s="13"/>
      <c r="C40" s="5"/>
      <c r="D40" s="5"/>
      <c r="E40" s="12"/>
      <c r="F40" s="5"/>
      <c r="G40" s="5"/>
      <c r="H40" s="5"/>
      <c r="I40" s="5"/>
      <c r="J40" s="5"/>
      <c r="K40" s="5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>
      <c r="A41" s="1"/>
      <c r="B41" s="11" t="s">
        <v>13</v>
      </c>
      <c r="C41" s="5"/>
      <c r="D41" s="5"/>
      <c r="E41" s="12"/>
      <c r="F41" s="177"/>
      <c r="G41" s="142"/>
      <c r="H41" s="5"/>
      <c r="I41" s="5"/>
      <c r="J41" s="5"/>
      <c r="K41" s="5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>
      <c r="A42" s="1"/>
      <c r="B42" s="11"/>
      <c r="C42" s="5"/>
      <c r="D42" s="5"/>
      <c r="E42" s="12"/>
      <c r="F42" s="22"/>
      <c r="G42" s="22"/>
      <c r="H42" s="5"/>
      <c r="I42" s="5"/>
      <c r="J42" s="5"/>
      <c r="K42" s="5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>
      <c r="A43" s="1"/>
      <c r="B43" s="11"/>
      <c r="C43" s="5"/>
      <c r="D43" s="5"/>
      <c r="E43" s="12"/>
      <c r="F43" s="22"/>
      <c r="G43" s="22"/>
      <c r="H43" s="5"/>
      <c r="I43" s="5"/>
      <c r="J43" s="5"/>
      <c r="K43" s="5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>
      <c r="A44" s="1"/>
      <c r="B44" s="11"/>
      <c r="C44" s="5"/>
      <c r="D44" s="5"/>
      <c r="E44" s="12"/>
      <c r="F44" s="22"/>
      <c r="G44" s="22"/>
      <c r="H44" s="5"/>
      <c r="I44" s="5"/>
      <c r="J44" s="5"/>
      <c r="K44" s="5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>
      <c r="A45" s="1"/>
      <c r="B45" s="11"/>
      <c r="C45" s="5"/>
      <c r="D45" s="5"/>
      <c r="E45" s="12"/>
      <c r="F45" s="22"/>
      <c r="G45" s="22"/>
      <c r="H45" s="5"/>
      <c r="I45" s="5"/>
      <c r="J45" s="5"/>
      <c r="K45" s="5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>
      <c r="A46" s="1"/>
      <c r="B46" s="23" t="s">
        <v>14</v>
      </c>
      <c r="C46" s="5"/>
      <c r="D46" s="5"/>
      <c r="E46" s="5"/>
      <c r="F46" s="5"/>
      <c r="G46" s="5"/>
      <c r="H46" s="5"/>
      <c r="I46" s="5"/>
      <c r="J46" s="5"/>
      <c r="K46" s="5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31.5" customHeight="1">
      <c r="A48" s="1"/>
      <c r="B48" s="173" t="s">
        <v>15</v>
      </c>
      <c r="C48" s="141"/>
      <c r="D48" s="141"/>
      <c r="E48" s="141"/>
      <c r="F48" s="141"/>
      <c r="G48" s="141"/>
      <c r="H48" s="141"/>
      <c r="I48" s="141"/>
      <c r="J48" s="142"/>
      <c r="K48" s="5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>
      <c r="A50" s="1"/>
      <c r="B50" s="5"/>
      <c r="C50" s="178" t="s">
        <v>16</v>
      </c>
      <c r="D50" s="159"/>
      <c r="E50" s="179" t="str">
        <f>CONCATENATE(Datos!F12," °C")</f>
        <v>21.5 °C</v>
      </c>
      <c r="F50" s="159"/>
      <c r="G50" s="5"/>
      <c r="H50" s="5"/>
      <c r="I50" s="5"/>
      <c r="J50" s="5"/>
      <c r="K50" s="5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>
      <c r="A51" s="1"/>
      <c r="B51" s="5"/>
      <c r="C51" s="178" t="s">
        <v>17</v>
      </c>
      <c r="D51" s="159"/>
      <c r="E51" s="179" t="str">
        <f>CONCATENATE(Datos!F13," %hr")</f>
        <v>52.75 %hr</v>
      </c>
      <c r="F51" s="159"/>
      <c r="G51" s="5"/>
      <c r="H51" s="5"/>
      <c r="I51" s="5"/>
      <c r="J51" s="5"/>
      <c r="K51" s="5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>
      <c r="A52" s="1"/>
      <c r="B52" s="17"/>
      <c r="C52" s="5"/>
      <c r="D52" s="5"/>
      <c r="E52" s="12"/>
      <c r="F52" s="5"/>
      <c r="G52" s="5"/>
      <c r="H52" s="5"/>
      <c r="I52" s="5"/>
      <c r="J52" s="5"/>
      <c r="K52" s="5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20.25" customHeight="1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>
      <c r="A54" s="1"/>
      <c r="B54" s="23" t="s">
        <v>18</v>
      </c>
      <c r="C54" s="5"/>
      <c r="D54" s="5"/>
      <c r="E54" s="5"/>
      <c r="F54" s="5"/>
      <c r="G54" s="5"/>
      <c r="H54" s="5"/>
      <c r="I54" s="5"/>
      <c r="J54" s="5"/>
      <c r="K54" s="5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>
      <c r="A56" s="1"/>
      <c r="B56" s="5" t="s">
        <v>19</v>
      </c>
      <c r="C56" s="5"/>
      <c r="D56" s="5"/>
      <c r="E56" s="5"/>
      <c r="F56" s="5"/>
      <c r="G56" s="5"/>
      <c r="H56" s="5"/>
      <c r="I56" s="5"/>
      <c r="J56" s="5"/>
      <c r="K56" s="5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>
      <c r="A57" s="1"/>
      <c r="B57" s="5" t="s">
        <v>20</v>
      </c>
      <c r="C57" s="5"/>
      <c r="D57" s="5"/>
      <c r="E57" s="5"/>
      <c r="F57" s="5"/>
      <c r="G57" s="5"/>
      <c r="H57" s="5"/>
      <c r="I57" s="5"/>
      <c r="J57" s="5"/>
      <c r="K57" s="5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>
      <c r="A59" s="1"/>
      <c r="B59" s="180" t="s">
        <v>21</v>
      </c>
      <c r="C59" s="135"/>
      <c r="D59" s="135"/>
      <c r="E59" s="135"/>
      <c r="F59" s="135"/>
      <c r="G59" s="135"/>
      <c r="H59" s="135"/>
      <c r="I59" s="135"/>
      <c r="J59" s="136"/>
      <c r="K59" s="5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>
      <c r="A60" s="1"/>
      <c r="B60" s="181" t="s">
        <v>22</v>
      </c>
      <c r="C60" s="135"/>
      <c r="D60" s="135"/>
      <c r="E60" s="135"/>
      <c r="F60" s="135"/>
      <c r="G60" s="135"/>
      <c r="H60" s="135"/>
      <c r="I60" s="135"/>
      <c r="J60" s="136"/>
      <c r="K60" s="5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>
      <c r="A61" s="1"/>
      <c r="B61" s="182" t="s">
        <v>23</v>
      </c>
      <c r="C61" s="138"/>
      <c r="D61" s="138"/>
      <c r="E61" s="138"/>
      <c r="F61" s="138"/>
      <c r="G61" s="138"/>
      <c r="H61" s="138"/>
      <c r="I61" s="138"/>
      <c r="J61" s="139"/>
      <c r="K61" s="5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>
      <c r="A62" s="1"/>
      <c r="B62" s="183" t="s">
        <v>24</v>
      </c>
      <c r="C62" s="138"/>
      <c r="D62" s="138"/>
      <c r="E62" s="138"/>
      <c r="F62" s="138"/>
      <c r="G62" s="138"/>
      <c r="H62" s="138"/>
      <c r="I62" s="138"/>
      <c r="J62" s="139"/>
      <c r="K62" s="5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43.5" customHeight="1">
      <c r="A63" s="1"/>
      <c r="B63" s="184" t="s">
        <v>25</v>
      </c>
      <c r="C63" s="155"/>
      <c r="D63" s="155"/>
      <c r="E63" s="155"/>
      <c r="F63" s="155"/>
      <c r="G63" s="155"/>
      <c r="H63" s="155"/>
      <c r="I63" s="155"/>
      <c r="J63" s="159"/>
      <c r="K63" s="5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>
      <c r="A64" s="1"/>
      <c r="B64" s="185" t="s">
        <v>26</v>
      </c>
      <c r="C64" s="155"/>
      <c r="D64" s="155"/>
      <c r="E64" s="155"/>
      <c r="F64" s="155"/>
      <c r="G64" s="155"/>
      <c r="H64" s="155"/>
      <c r="I64" s="155"/>
      <c r="J64" s="159"/>
      <c r="K64" s="5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28.5" customHeight="1">
      <c r="A65" s="1"/>
      <c r="B65" s="184" t="s">
        <v>27</v>
      </c>
      <c r="C65" s="155"/>
      <c r="D65" s="155"/>
      <c r="E65" s="155"/>
      <c r="F65" s="155"/>
      <c r="G65" s="155"/>
      <c r="H65" s="155"/>
      <c r="I65" s="155"/>
      <c r="J65" s="159"/>
      <c r="K65" s="5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6.5" customHeight="1">
      <c r="A66" s="1"/>
      <c r="B66" s="185" t="s">
        <v>28</v>
      </c>
      <c r="C66" s="155"/>
      <c r="D66" s="155"/>
      <c r="E66" s="155"/>
      <c r="F66" s="155"/>
      <c r="G66" s="155"/>
      <c r="H66" s="155"/>
      <c r="I66" s="155"/>
      <c r="J66" s="159"/>
      <c r="K66" s="5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33.75" customHeight="1">
      <c r="A67" s="1"/>
      <c r="B67" s="185" t="s">
        <v>29</v>
      </c>
      <c r="C67" s="155"/>
      <c r="D67" s="155"/>
      <c r="E67" s="155"/>
      <c r="F67" s="155"/>
      <c r="G67" s="155"/>
      <c r="H67" s="155"/>
      <c r="I67" s="155"/>
      <c r="J67" s="159"/>
      <c r="K67" s="5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33" customHeight="1">
      <c r="A68" s="1"/>
      <c r="B68" s="185" t="s">
        <v>30</v>
      </c>
      <c r="C68" s="155"/>
      <c r="D68" s="155"/>
      <c r="E68" s="155"/>
      <c r="F68" s="155"/>
      <c r="G68" s="155"/>
      <c r="H68" s="155"/>
      <c r="I68" s="155"/>
      <c r="J68" s="159"/>
      <c r="K68" s="5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44.25" customHeight="1">
      <c r="A69" s="1"/>
      <c r="B69" s="185" t="s">
        <v>31</v>
      </c>
      <c r="C69" s="155"/>
      <c r="D69" s="155"/>
      <c r="E69" s="155"/>
      <c r="F69" s="155"/>
      <c r="G69" s="155"/>
      <c r="H69" s="155"/>
      <c r="I69" s="155"/>
      <c r="J69" s="159"/>
      <c r="K69" s="5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>
      <c r="A72" s="1"/>
      <c r="B72" s="11" t="s">
        <v>32</v>
      </c>
      <c r="C72" s="5"/>
      <c r="D72" s="5"/>
      <c r="E72" s="5"/>
      <c r="F72" s="5"/>
      <c r="G72" s="5"/>
      <c r="H72" s="5"/>
      <c r="I72" s="5"/>
      <c r="J72" s="5"/>
      <c r="K72" s="5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>
      <c r="A74" s="1"/>
      <c r="B74" s="125" t="s">
        <v>194</v>
      </c>
      <c r="C74" s="5"/>
      <c r="D74" s="5"/>
      <c r="E74" s="5"/>
      <c r="F74" s="5"/>
      <c r="G74" s="5"/>
      <c r="H74" s="5"/>
      <c r="I74" s="5"/>
      <c r="J74" s="5"/>
      <c r="K74" s="5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75" customHeight="1">
      <c r="A75" s="1"/>
      <c r="B75" s="10"/>
      <c r="C75" s="5"/>
      <c r="D75" s="5"/>
      <c r="E75" s="5"/>
      <c r="F75" s="5"/>
      <c r="G75" s="5"/>
      <c r="H75" s="5"/>
      <c r="I75" s="5"/>
      <c r="J75" s="5"/>
      <c r="K75" s="5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>
      <c r="A76" s="1"/>
      <c r="B76" s="5" t="s">
        <v>33</v>
      </c>
      <c r="C76" s="5" t="str">
        <f>+Datos!B17</f>
        <v xml:space="preserve">Patrón conectado a linea y equipo a analizar conectado a Patrón. Equipo de prueba apagado. </v>
      </c>
      <c r="D76" s="5"/>
      <c r="E76" s="5"/>
      <c r="F76" s="5"/>
      <c r="G76" s="5"/>
      <c r="H76" s="5"/>
      <c r="I76" s="5"/>
      <c r="J76" s="5"/>
      <c r="K76" s="5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5" customHeight="1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>
      <c r="A78" s="1"/>
      <c r="B78" s="5" t="str">
        <f>+Datos!B18</f>
        <v>Los valores de la tabla se expresan en V</v>
      </c>
      <c r="C78" s="5"/>
      <c r="D78" s="5"/>
      <c r="E78" s="5"/>
      <c r="F78" s="5"/>
      <c r="G78" s="5"/>
      <c r="H78" s="5"/>
      <c r="I78" s="5"/>
      <c r="J78" s="5"/>
      <c r="K78" s="5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37.5" customHeight="1">
      <c r="A80" s="1"/>
      <c r="B80" s="186" t="s">
        <v>34</v>
      </c>
      <c r="C80" s="159"/>
      <c r="D80" s="187" t="s">
        <v>35</v>
      </c>
      <c r="E80" s="159"/>
      <c r="F80" s="186" t="s">
        <v>36</v>
      </c>
      <c r="G80" s="159"/>
      <c r="H80" s="5"/>
      <c r="I80" s="5"/>
      <c r="J80" s="5"/>
      <c r="K80" s="5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>
      <c r="A81" s="1"/>
      <c r="B81" s="192" t="s">
        <v>115</v>
      </c>
      <c r="C81" s="159"/>
      <c r="D81" s="188" t="s">
        <v>195</v>
      </c>
      <c r="E81" s="189"/>
      <c r="F81" s="190" t="str">
        <f>+Datos!F21</f>
        <v>NO</v>
      </c>
      <c r="G81" s="159"/>
      <c r="H81" s="24"/>
      <c r="I81" s="5"/>
      <c r="J81" s="5"/>
      <c r="K81" s="5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>
      <c r="A82" s="1"/>
      <c r="B82" s="5"/>
      <c r="C82" s="5"/>
      <c r="D82" s="5"/>
      <c r="E82" s="5"/>
      <c r="F82" s="25"/>
      <c r="G82" s="25"/>
      <c r="H82" s="5"/>
      <c r="I82" s="5"/>
      <c r="J82" s="5"/>
      <c r="K82" s="5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>
      <c r="A84" s="1"/>
      <c r="B84" s="10" t="str">
        <f>+Datos!B23:H23</f>
        <v>PRUEBA DE RESISTENCIA EN PROTECCIÓN A TIERRA:</v>
      </c>
      <c r="C84" s="5"/>
      <c r="D84" s="5"/>
      <c r="E84" s="5"/>
      <c r="F84" s="5"/>
      <c r="G84" s="5"/>
      <c r="H84" s="5"/>
      <c r="I84" s="5"/>
      <c r="J84" s="5"/>
      <c r="K84" s="5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1.25" customHeight="1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>
      <c r="A86" s="1"/>
      <c r="B86" s="5" t="s">
        <v>33</v>
      </c>
      <c r="C86" s="5" t="str">
        <f>+Datos!B24</f>
        <v>Para todos los equipos biomédicos y según norma internacional IEC 60601-1, no debe superar los 0,2 Ω</v>
      </c>
      <c r="D86" s="5"/>
      <c r="E86" s="5"/>
      <c r="F86" s="5"/>
      <c r="G86" s="5"/>
      <c r="H86" s="5"/>
      <c r="I86" s="5"/>
      <c r="J86" s="5"/>
      <c r="K86" s="5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1.25" customHeight="1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>
      <c r="A88" s="1"/>
      <c r="B88" s="5" t="str">
        <f>+Datos!B25</f>
        <v>Los valores de la tabla se expresan en Ω</v>
      </c>
      <c r="C88" s="5"/>
      <c r="D88" s="5"/>
      <c r="E88" s="5"/>
      <c r="F88" s="5"/>
      <c r="G88" s="5"/>
      <c r="H88" s="5"/>
      <c r="I88" s="5"/>
      <c r="J88" s="5"/>
      <c r="K88" s="5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37.5" customHeight="1">
      <c r="A90" s="1"/>
      <c r="B90" s="186" t="s">
        <v>34</v>
      </c>
      <c r="C90" s="159"/>
      <c r="D90" s="187" t="s">
        <v>35</v>
      </c>
      <c r="E90" s="159"/>
      <c r="F90" s="186" t="s">
        <v>36</v>
      </c>
      <c r="G90" s="159"/>
      <c r="H90" s="5"/>
      <c r="I90" s="5"/>
      <c r="J90" s="5"/>
      <c r="K90" s="5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>
      <c r="A91" s="1"/>
      <c r="B91" s="192">
        <v>0.2</v>
      </c>
      <c r="C91" s="159"/>
      <c r="D91" s="188" t="s">
        <v>196</v>
      </c>
      <c r="E91" s="189"/>
      <c r="F91" s="190" t="e">
        <f>+Datos!G28</f>
        <v>#DIV/0!</v>
      </c>
      <c r="G91" s="159"/>
      <c r="H91" s="5"/>
      <c r="I91" s="5"/>
      <c r="J91" s="5"/>
      <c r="K91" s="5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>
      <c r="A92" s="1"/>
      <c r="B92" s="26"/>
      <c r="C92" s="26"/>
      <c r="D92" s="27"/>
      <c r="E92" s="27"/>
      <c r="F92" s="27"/>
      <c r="G92" s="27"/>
      <c r="H92" s="5"/>
      <c r="I92" s="5"/>
      <c r="J92" s="5"/>
      <c r="K92" s="5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>
      <c r="A93" s="1"/>
      <c r="B93" s="5"/>
      <c r="C93" s="5"/>
      <c r="D93" s="5"/>
      <c r="E93" s="5"/>
      <c r="F93" s="5"/>
      <c r="G93" s="5"/>
      <c r="H93" s="5"/>
      <c r="I93" s="5"/>
      <c r="J93" s="5"/>
      <c r="K93" s="5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>
      <c r="A94" s="1"/>
      <c r="B94" s="10" t="str">
        <f>+Datos!B33:C33</f>
        <v>PRUEBA TIERRA</v>
      </c>
      <c r="C94" s="5"/>
      <c r="D94" s="5"/>
      <c r="E94" s="5"/>
      <c r="F94" s="5"/>
      <c r="G94" s="5"/>
      <c r="H94" s="5"/>
      <c r="I94" s="5"/>
      <c r="J94" s="5"/>
      <c r="K94" s="5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9" customHeight="1">
      <c r="A95" s="1"/>
      <c r="B95" s="5"/>
      <c r="C95" s="5"/>
      <c r="D95" s="5"/>
      <c r="E95" s="5"/>
      <c r="F95" s="5"/>
      <c r="G95" s="5"/>
      <c r="H95" s="5"/>
      <c r="I95" s="5"/>
      <c r="J95" s="5"/>
      <c r="K95" s="5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>
      <c r="A96" s="1"/>
      <c r="B96" s="5" t="s">
        <v>33</v>
      </c>
      <c r="C96" s="5" t="str">
        <f>+Datos!$B$32</f>
        <v>Determinar posibles fallas dependiendo de cada equipo</v>
      </c>
      <c r="D96" s="5"/>
      <c r="E96" s="5"/>
      <c r="F96" s="5"/>
      <c r="G96" s="5"/>
      <c r="H96" s="5"/>
      <c r="I96" s="5"/>
      <c r="J96" s="5"/>
      <c r="K96" s="5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1.25" customHeight="1">
      <c r="A97" s="1"/>
      <c r="B97" s="5"/>
      <c r="C97" s="5"/>
      <c r="D97" s="5"/>
      <c r="E97" s="5"/>
      <c r="F97" s="5"/>
      <c r="G97" s="5"/>
      <c r="H97" s="5"/>
      <c r="I97" s="5"/>
      <c r="J97" s="5"/>
      <c r="K97" s="5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>
      <c r="A98" s="1"/>
      <c r="B98" s="5" t="str">
        <f>+Datos!B34</f>
        <v>Los valores de la tabla se expresan en µA</v>
      </c>
      <c r="C98" s="5"/>
      <c r="D98" s="5"/>
      <c r="E98" s="5"/>
      <c r="F98" s="5"/>
      <c r="G98" s="5"/>
      <c r="H98" s="5"/>
      <c r="I98" s="5"/>
      <c r="J98" s="5"/>
      <c r="K98" s="5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>
      <c r="A99" s="1"/>
      <c r="B99" s="5"/>
      <c r="C99" s="5"/>
      <c r="D99" s="5"/>
      <c r="E99" s="5"/>
      <c r="F99" s="5"/>
      <c r="G99" s="5"/>
      <c r="H99" s="5"/>
      <c r="I99" s="5"/>
      <c r="J99" s="5"/>
      <c r="K99" s="5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>
      <c r="A100" s="1"/>
      <c r="B100" s="151" t="s">
        <v>37</v>
      </c>
      <c r="C100" s="28" t="s">
        <v>38</v>
      </c>
      <c r="D100" s="29" t="s">
        <v>39</v>
      </c>
      <c r="E100" s="29" t="s">
        <v>37</v>
      </c>
      <c r="F100" s="30" t="s">
        <v>40</v>
      </c>
      <c r="G100" s="30" t="s">
        <v>41</v>
      </c>
      <c r="H100" s="30" t="s">
        <v>42</v>
      </c>
      <c r="I100" s="30" t="s">
        <v>43</v>
      </c>
      <c r="J100" s="30" t="s">
        <v>36</v>
      </c>
      <c r="K100" s="16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>
      <c r="A101" s="1"/>
      <c r="B101" s="152"/>
      <c r="C101" s="31" t="s">
        <v>44</v>
      </c>
      <c r="D101" s="31" t="s">
        <v>45</v>
      </c>
      <c r="E101" s="31" t="s">
        <v>46</v>
      </c>
      <c r="F101" s="32" t="s">
        <v>47</v>
      </c>
      <c r="G101" s="128" t="s">
        <v>197</v>
      </c>
      <c r="H101" s="34">
        <v>500</v>
      </c>
      <c r="I101" s="35" t="e">
        <f t="shared" ref="I101:I104" si="0">(G101/H101)*100</f>
        <v>#VALUE!</v>
      </c>
      <c r="J101" s="35" t="str">
        <f t="shared" ref="J101:J104" si="1">IF(OR(G101="", G101=0), "Esperando dato...", IF(G101 &gt; H101, "NO (Exceso)", "SÍ (Margen: " &amp; TEXT(1-(G101/H101), "0%") &amp; ")"))</f>
        <v>NO (Exceso)</v>
      </c>
      <c r="K101" s="16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>
      <c r="A102" s="1"/>
      <c r="B102" s="152"/>
      <c r="C102" s="31" t="s">
        <v>44</v>
      </c>
      <c r="D102" s="31" t="s">
        <v>48</v>
      </c>
      <c r="E102" s="31" t="s">
        <v>46</v>
      </c>
      <c r="F102" s="31" t="s">
        <v>49</v>
      </c>
      <c r="G102" s="128" t="s">
        <v>198</v>
      </c>
      <c r="H102" s="36">
        <v>1000</v>
      </c>
      <c r="I102" s="35" t="e">
        <f t="shared" si="0"/>
        <v>#VALUE!</v>
      </c>
      <c r="J102" s="35" t="str">
        <f t="shared" si="1"/>
        <v>NO (Exceso)</v>
      </c>
      <c r="K102" s="16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>
      <c r="A103" s="1"/>
      <c r="B103" s="152"/>
      <c r="C103" s="31" t="s">
        <v>50</v>
      </c>
      <c r="D103" s="31" t="s">
        <v>45</v>
      </c>
      <c r="E103" s="31" t="s">
        <v>46</v>
      </c>
      <c r="F103" s="37" t="s">
        <v>47</v>
      </c>
      <c r="G103" s="128" t="s">
        <v>199</v>
      </c>
      <c r="H103" s="36">
        <v>500</v>
      </c>
      <c r="I103" s="35" t="e">
        <f t="shared" si="0"/>
        <v>#VALUE!</v>
      </c>
      <c r="J103" s="35" t="str">
        <f t="shared" si="1"/>
        <v>NO (Exceso)</v>
      </c>
      <c r="K103" s="16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>
      <c r="A104" s="1"/>
      <c r="B104" s="153"/>
      <c r="C104" s="31" t="s">
        <v>50</v>
      </c>
      <c r="D104" s="31" t="s">
        <v>48</v>
      </c>
      <c r="E104" s="31" t="s">
        <v>46</v>
      </c>
      <c r="F104" s="31" t="s">
        <v>49</v>
      </c>
      <c r="G104" s="128" t="s">
        <v>200</v>
      </c>
      <c r="H104" s="31">
        <v>1000</v>
      </c>
      <c r="I104" s="35" t="e">
        <f t="shared" si="0"/>
        <v>#VALUE!</v>
      </c>
      <c r="J104" s="35" t="str">
        <f t="shared" si="1"/>
        <v>NO (Exceso)</v>
      </c>
      <c r="K104" s="16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>
      <c r="A105" s="1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>
      <c r="A106" s="1"/>
      <c r="B106" s="10" t="str">
        <f>+Datos!B43:C43</f>
        <v>PRUEBA CHASÍS</v>
      </c>
      <c r="C106" s="5"/>
      <c r="D106" s="5"/>
      <c r="E106" s="5"/>
      <c r="F106" s="5"/>
      <c r="G106" s="5"/>
      <c r="H106" s="5"/>
      <c r="I106" s="5"/>
      <c r="J106" s="5"/>
      <c r="K106" s="5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0.5" customHeight="1">
      <c r="A107" s="1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>
      <c r="A108" s="1"/>
      <c r="B108" s="5" t="s">
        <v>33</v>
      </c>
      <c r="C108" s="5" t="str">
        <f>+Datos!$B$32</f>
        <v>Determinar posibles fallas dependiendo de cada equipo</v>
      </c>
      <c r="D108" s="5"/>
      <c r="E108" s="5"/>
      <c r="F108" s="5"/>
      <c r="G108" s="5"/>
      <c r="H108" s="5"/>
      <c r="I108" s="5"/>
      <c r="J108" s="5"/>
      <c r="K108" s="5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5" customHeight="1">
      <c r="A109" s="1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>
      <c r="A110" s="1"/>
      <c r="B110" s="5" t="str">
        <f>+Datos!B44</f>
        <v>Los valores de la tabla se expresan en µA</v>
      </c>
      <c r="C110" s="5"/>
      <c r="D110" s="5"/>
      <c r="E110" s="5"/>
      <c r="F110" s="5"/>
      <c r="G110" s="5"/>
      <c r="H110" s="5"/>
      <c r="I110" s="5"/>
      <c r="J110" s="5"/>
      <c r="K110" s="5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>
      <c r="A111" s="1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29.25" customHeight="1">
      <c r="A112" s="1"/>
      <c r="B112" s="151" t="s">
        <v>51</v>
      </c>
      <c r="C112" s="28" t="s">
        <v>38</v>
      </c>
      <c r="D112" s="29" t="s">
        <v>39</v>
      </c>
      <c r="E112" s="29" t="s">
        <v>37</v>
      </c>
      <c r="F112" s="30" t="s">
        <v>40</v>
      </c>
      <c r="G112" s="30" t="s">
        <v>41</v>
      </c>
      <c r="H112" s="30" t="s">
        <v>42</v>
      </c>
      <c r="I112" s="30" t="s">
        <v>43</v>
      </c>
      <c r="J112" s="30" t="s">
        <v>36</v>
      </c>
      <c r="K112" s="16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>
      <c r="A113" s="1"/>
      <c r="B113" s="152"/>
      <c r="C113" s="31" t="s">
        <v>44</v>
      </c>
      <c r="D113" s="31" t="s">
        <v>45</v>
      </c>
      <c r="E113" s="31" t="s">
        <v>45</v>
      </c>
      <c r="F113" s="31" t="s">
        <v>47</v>
      </c>
      <c r="G113" s="126" t="s">
        <v>202</v>
      </c>
      <c r="H113" s="32">
        <v>100</v>
      </c>
      <c r="I113" s="31" t="e">
        <f t="shared" ref="I113:I118" si="2">(G113/H113)*100</f>
        <v>#VALUE!</v>
      </c>
      <c r="J113" s="31" t="str">
        <f t="shared" ref="J113:J118" si="3">IF(OR(G113="", G113=0), "Esperando dato...", IF(G113 &gt; H113, "NO (Exceso)", "SÍ (Margen: " &amp; TEXT(1-(G113/H113), "0%") &amp; ")"))</f>
        <v>NO (Exceso)</v>
      </c>
      <c r="K113" s="16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>
      <c r="A114" s="1"/>
      <c r="B114" s="152"/>
      <c r="C114" s="31" t="s">
        <v>44</v>
      </c>
      <c r="D114" s="31" t="s">
        <v>45</v>
      </c>
      <c r="E114" s="31" t="s">
        <v>48</v>
      </c>
      <c r="F114" s="31" t="s">
        <v>49</v>
      </c>
      <c r="G114" s="126" t="s">
        <v>201</v>
      </c>
      <c r="H114" s="32">
        <v>500</v>
      </c>
      <c r="I114" s="31" t="e">
        <f t="shared" si="2"/>
        <v>#VALUE!</v>
      </c>
      <c r="J114" s="31" t="str">
        <f t="shared" si="3"/>
        <v>NO (Exceso)</v>
      </c>
      <c r="K114" s="16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>
      <c r="A115" s="1"/>
      <c r="B115" s="152"/>
      <c r="C115" s="31" t="s">
        <v>44</v>
      </c>
      <c r="D115" s="31" t="s">
        <v>48</v>
      </c>
      <c r="E115" s="31" t="s">
        <v>45</v>
      </c>
      <c r="F115" s="31" t="s">
        <v>49</v>
      </c>
      <c r="G115" s="126" t="s">
        <v>203</v>
      </c>
      <c r="H115" s="32">
        <v>500</v>
      </c>
      <c r="I115" s="31" t="e">
        <f t="shared" si="2"/>
        <v>#VALUE!</v>
      </c>
      <c r="J115" s="31" t="str">
        <f t="shared" si="3"/>
        <v>NO (Exceso)</v>
      </c>
      <c r="K115" s="16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>
      <c r="A116" s="1"/>
      <c r="B116" s="152"/>
      <c r="C116" s="31" t="s">
        <v>50</v>
      </c>
      <c r="D116" s="31" t="s">
        <v>45</v>
      </c>
      <c r="E116" s="31" t="s">
        <v>45</v>
      </c>
      <c r="F116" s="31" t="s">
        <v>47</v>
      </c>
      <c r="G116" s="126" t="s">
        <v>204</v>
      </c>
      <c r="H116" s="32">
        <v>100</v>
      </c>
      <c r="I116" s="31" t="e">
        <f t="shared" si="2"/>
        <v>#VALUE!</v>
      </c>
      <c r="J116" s="31" t="str">
        <f t="shared" si="3"/>
        <v>NO (Exceso)</v>
      </c>
      <c r="K116" s="16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>
      <c r="A117" s="1"/>
      <c r="B117" s="152"/>
      <c r="C117" s="31" t="s">
        <v>50</v>
      </c>
      <c r="D117" s="31" t="s">
        <v>48</v>
      </c>
      <c r="E117" s="31" t="s">
        <v>45</v>
      </c>
      <c r="F117" s="31" t="s">
        <v>49</v>
      </c>
      <c r="G117" s="126" t="s">
        <v>205</v>
      </c>
      <c r="H117" s="32">
        <v>500</v>
      </c>
      <c r="I117" s="31" t="e">
        <f t="shared" si="2"/>
        <v>#VALUE!</v>
      </c>
      <c r="J117" s="31" t="str">
        <f t="shared" si="3"/>
        <v>NO (Exceso)</v>
      </c>
      <c r="K117" s="16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>
      <c r="A118" s="1"/>
      <c r="B118" s="153"/>
      <c r="C118" s="31" t="s">
        <v>50</v>
      </c>
      <c r="D118" s="31" t="s">
        <v>45</v>
      </c>
      <c r="E118" s="31" t="s">
        <v>48</v>
      </c>
      <c r="F118" s="31" t="s">
        <v>49</v>
      </c>
      <c r="G118" s="126" t="s">
        <v>206</v>
      </c>
      <c r="H118" s="32">
        <v>500</v>
      </c>
      <c r="I118" s="31" t="e">
        <f t="shared" si="2"/>
        <v>#VALUE!</v>
      </c>
      <c r="J118" s="31" t="str">
        <f t="shared" si="3"/>
        <v>NO (Exceso)</v>
      </c>
      <c r="K118" s="16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9.5" customHeight="1">
      <c r="A119" s="1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>
      <c r="A120" s="1"/>
      <c r="B120" s="10" t="str">
        <f>Datos!B59:C59</f>
        <v>PRUEBA LATIGUILLOS</v>
      </c>
      <c r="C120" s="5"/>
      <c r="D120" s="5"/>
      <c r="E120" s="5"/>
      <c r="F120" s="5"/>
      <c r="G120" s="5"/>
      <c r="H120" s="5"/>
      <c r="I120" s="5"/>
      <c r="J120" s="5"/>
      <c r="K120" s="5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>
      <c r="A121" s="1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>
      <c r="A122" s="1"/>
      <c r="B122" s="5" t="s">
        <v>33</v>
      </c>
      <c r="C122" s="5" t="s">
        <v>52</v>
      </c>
      <c r="D122" s="5"/>
      <c r="E122" s="5"/>
      <c r="F122" s="5"/>
      <c r="G122" s="5"/>
      <c r="H122" s="5"/>
      <c r="I122" s="5"/>
      <c r="J122" s="5"/>
      <c r="K122" s="5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>
      <c r="A123" s="1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>
      <c r="A124" s="1"/>
      <c r="B124" s="5" t="str">
        <f>Datos!B60</f>
        <v>Los valores de la tabla se expresan en µA</v>
      </c>
      <c r="C124" s="5"/>
      <c r="D124" s="5"/>
      <c r="E124" s="5"/>
      <c r="F124" s="5"/>
      <c r="G124" s="5"/>
      <c r="H124" s="5"/>
      <c r="I124" s="5"/>
      <c r="J124" s="5"/>
      <c r="K124" s="5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>
      <c r="A125" s="1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35.25" customHeight="1">
      <c r="A126" s="40"/>
      <c r="B126" s="151" t="s">
        <v>53</v>
      </c>
      <c r="C126" s="29" t="s">
        <v>54</v>
      </c>
      <c r="D126" s="29" t="s">
        <v>38</v>
      </c>
      <c r="E126" s="29" t="s">
        <v>39</v>
      </c>
      <c r="F126" s="29" t="s">
        <v>37</v>
      </c>
      <c r="G126" s="29" t="s">
        <v>40</v>
      </c>
      <c r="H126" s="41" t="s">
        <v>41</v>
      </c>
      <c r="I126" s="42" t="s">
        <v>42</v>
      </c>
      <c r="J126" s="42" t="s">
        <v>43</v>
      </c>
      <c r="K126" s="29" t="s">
        <v>36</v>
      </c>
      <c r="L126" s="43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>
      <c r="A127" s="40"/>
      <c r="B127" s="152"/>
      <c r="C127" s="191" t="s">
        <v>55</v>
      </c>
      <c r="D127" s="31" t="s">
        <v>44</v>
      </c>
      <c r="E127" s="31" t="s">
        <v>45</v>
      </c>
      <c r="F127" s="31" t="s">
        <v>45</v>
      </c>
      <c r="G127" s="31" t="s">
        <v>47</v>
      </c>
      <c r="H127" s="129" t="s">
        <v>207</v>
      </c>
      <c r="I127" s="44">
        <v>10</v>
      </c>
      <c r="J127" s="44" t="e">
        <f t="shared" ref="J127:J132" si="4">(H127/I127)*100</f>
        <v>#VALUE!</v>
      </c>
      <c r="K127" s="31" t="str">
        <f t="shared" ref="K127:K132" si="5">IF(OR(H127="", H127=0), "Esperando dato...", IF(H127 &gt; I127, "NO (Exceso)", "SÍ (Margen: " &amp; TEXT(1-(H127/I127), "0%") &amp; ")"))</f>
        <v>NO (Exceso)</v>
      </c>
      <c r="L127" s="43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>
      <c r="A128" s="40"/>
      <c r="B128" s="152"/>
      <c r="C128" s="152"/>
      <c r="D128" s="31" t="s">
        <v>44</v>
      </c>
      <c r="E128" s="31" t="s">
        <v>45</v>
      </c>
      <c r="F128" s="31" t="s">
        <v>48</v>
      </c>
      <c r="G128" s="31" t="s">
        <v>49</v>
      </c>
      <c r="H128" s="129" t="s">
        <v>208</v>
      </c>
      <c r="I128" s="44">
        <v>50</v>
      </c>
      <c r="J128" s="44" t="e">
        <f t="shared" si="4"/>
        <v>#VALUE!</v>
      </c>
      <c r="K128" s="31" t="str">
        <f t="shared" si="5"/>
        <v>NO (Exceso)</v>
      </c>
      <c r="L128" s="43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>
      <c r="A129" s="40"/>
      <c r="B129" s="152"/>
      <c r="C129" s="152"/>
      <c r="D129" s="31" t="s">
        <v>44</v>
      </c>
      <c r="E129" s="31" t="s">
        <v>48</v>
      </c>
      <c r="F129" s="31" t="s">
        <v>45</v>
      </c>
      <c r="G129" s="31" t="s">
        <v>49</v>
      </c>
      <c r="H129" s="129" t="s">
        <v>209</v>
      </c>
      <c r="I129" s="44">
        <v>50</v>
      </c>
      <c r="J129" s="44" t="e">
        <f t="shared" si="4"/>
        <v>#VALUE!</v>
      </c>
      <c r="K129" s="31" t="str">
        <f t="shared" si="5"/>
        <v>NO (Exceso)</v>
      </c>
      <c r="L129" s="43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>
      <c r="A130" s="40"/>
      <c r="B130" s="152"/>
      <c r="C130" s="152"/>
      <c r="D130" s="31" t="s">
        <v>50</v>
      </c>
      <c r="E130" s="31" t="s">
        <v>45</v>
      </c>
      <c r="F130" s="31" t="s">
        <v>45</v>
      </c>
      <c r="G130" s="31" t="s">
        <v>47</v>
      </c>
      <c r="H130" s="129" t="s">
        <v>210</v>
      </c>
      <c r="I130" s="44">
        <v>50</v>
      </c>
      <c r="J130" s="44" t="e">
        <f t="shared" si="4"/>
        <v>#VALUE!</v>
      </c>
      <c r="K130" s="31" t="str">
        <f t="shared" si="5"/>
        <v>NO (Exceso)</v>
      </c>
      <c r="L130" s="43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>
      <c r="A131" s="40"/>
      <c r="B131" s="152"/>
      <c r="C131" s="152"/>
      <c r="D131" s="31" t="s">
        <v>50</v>
      </c>
      <c r="E131" s="31" t="s">
        <v>48</v>
      </c>
      <c r="F131" s="31" t="s">
        <v>45</v>
      </c>
      <c r="G131" s="31" t="s">
        <v>49</v>
      </c>
      <c r="H131" s="129" t="s">
        <v>211</v>
      </c>
      <c r="I131" s="44">
        <v>50</v>
      </c>
      <c r="J131" s="44" t="e">
        <f t="shared" si="4"/>
        <v>#VALUE!</v>
      </c>
      <c r="K131" s="31" t="str">
        <f t="shared" si="5"/>
        <v>NO (Exceso)</v>
      </c>
      <c r="L131" s="43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>
      <c r="A132" s="40"/>
      <c r="B132" s="152"/>
      <c r="C132" s="153"/>
      <c r="D132" s="31" t="s">
        <v>50</v>
      </c>
      <c r="E132" s="31" t="s">
        <v>45</v>
      </c>
      <c r="F132" s="31" t="s">
        <v>48</v>
      </c>
      <c r="G132" s="31" t="s">
        <v>49</v>
      </c>
      <c r="H132" s="129" t="s">
        <v>212</v>
      </c>
      <c r="I132" s="44">
        <v>10</v>
      </c>
      <c r="J132" s="44" t="e">
        <f t="shared" si="4"/>
        <v>#VALUE!</v>
      </c>
      <c r="K132" s="31" t="str">
        <f t="shared" si="5"/>
        <v>NO (Exceso)</v>
      </c>
      <c r="L132" s="43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>
      <c r="A133" s="40"/>
      <c r="B133" s="152"/>
      <c r="C133" s="186"/>
      <c r="D133" s="155"/>
      <c r="E133" s="155"/>
      <c r="F133" s="155"/>
      <c r="G133" s="155"/>
      <c r="H133" s="155"/>
      <c r="I133" s="155"/>
      <c r="J133" s="155"/>
      <c r="K133" s="159"/>
      <c r="L133" s="43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>
      <c r="A134" s="40"/>
      <c r="B134" s="152"/>
      <c r="C134" s="191" t="s">
        <v>56</v>
      </c>
      <c r="D134" s="31" t="s">
        <v>44</v>
      </c>
      <c r="E134" s="31" t="s">
        <v>45</v>
      </c>
      <c r="F134" s="31" t="s">
        <v>45</v>
      </c>
      <c r="G134" s="31" t="s">
        <v>47</v>
      </c>
      <c r="H134" s="127" t="s">
        <v>213</v>
      </c>
      <c r="I134" s="44">
        <v>10</v>
      </c>
      <c r="J134" s="44" t="e">
        <f t="shared" ref="J134:J139" si="6">(H134/I134)*100</f>
        <v>#VALUE!</v>
      </c>
      <c r="K134" s="31" t="str">
        <f t="shared" ref="K134:K139" si="7">IF(OR(H134="", H134=0), "Esperando dato...", IF(H134 &gt; I134, "NO (Exceso)", "SÍ (Margen: " &amp; TEXT(1-(H134/I134), "0%") &amp; ")"))</f>
        <v>NO (Exceso)</v>
      </c>
      <c r="L134" s="43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>
      <c r="A135" s="40"/>
      <c r="B135" s="152"/>
      <c r="C135" s="152"/>
      <c r="D135" s="31" t="s">
        <v>44</v>
      </c>
      <c r="E135" s="31" t="s">
        <v>45</v>
      </c>
      <c r="F135" s="31" t="s">
        <v>48</v>
      </c>
      <c r="G135" s="31" t="s">
        <v>49</v>
      </c>
      <c r="H135" s="127" t="s">
        <v>214</v>
      </c>
      <c r="I135" s="44">
        <v>50</v>
      </c>
      <c r="J135" s="44" t="e">
        <f t="shared" si="6"/>
        <v>#VALUE!</v>
      </c>
      <c r="K135" s="31" t="str">
        <f t="shared" si="7"/>
        <v>NO (Exceso)</v>
      </c>
      <c r="L135" s="43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>
      <c r="A136" s="40"/>
      <c r="B136" s="152"/>
      <c r="C136" s="152"/>
      <c r="D136" s="31" t="s">
        <v>44</v>
      </c>
      <c r="E136" s="31" t="s">
        <v>48</v>
      </c>
      <c r="F136" s="31" t="s">
        <v>45</v>
      </c>
      <c r="G136" s="31" t="s">
        <v>49</v>
      </c>
      <c r="H136" s="127" t="s">
        <v>215</v>
      </c>
      <c r="I136" s="44">
        <v>50</v>
      </c>
      <c r="J136" s="44" t="e">
        <f t="shared" si="6"/>
        <v>#VALUE!</v>
      </c>
      <c r="K136" s="31" t="str">
        <f t="shared" si="7"/>
        <v>NO (Exceso)</v>
      </c>
      <c r="L136" s="43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>
      <c r="A137" s="40"/>
      <c r="B137" s="152"/>
      <c r="C137" s="152"/>
      <c r="D137" s="31" t="s">
        <v>50</v>
      </c>
      <c r="E137" s="31" t="s">
        <v>45</v>
      </c>
      <c r="F137" s="31" t="s">
        <v>45</v>
      </c>
      <c r="G137" s="31" t="s">
        <v>47</v>
      </c>
      <c r="H137" s="127" t="s">
        <v>216</v>
      </c>
      <c r="I137" s="44">
        <v>50</v>
      </c>
      <c r="J137" s="44" t="e">
        <f t="shared" si="6"/>
        <v>#VALUE!</v>
      </c>
      <c r="K137" s="31" t="str">
        <f t="shared" si="7"/>
        <v>NO (Exceso)</v>
      </c>
      <c r="L137" s="43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>
      <c r="A138" s="40"/>
      <c r="B138" s="152"/>
      <c r="C138" s="152"/>
      <c r="D138" s="31" t="s">
        <v>50</v>
      </c>
      <c r="E138" s="31" t="s">
        <v>48</v>
      </c>
      <c r="F138" s="31" t="s">
        <v>45</v>
      </c>
      <c r="G138" s="31" t="s">
        <v>49</v>
      </c>
      <c r="H138" s="127" t="s">
        <v>217</v>
      </c>
      <c r="I138" s="44">
        <v>50</v>
      </c>
      <c r="J138" s="44" t="e">
        <f t="shared" si="6"/>
        <v>#VALUE!</v>
      </c>
      <c r="K138" s="31" t="str">
        <f t="shared" si="7"/>
        <v>NO (Exceso)</v>
      </c>
      <c r="L138" s="43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>
      <c r="A139" s="40"/>
      <c r="B139" s="152"/>
      <c r="C139" s="153"/>
      <c r="D139" s="31" t="s">
        <v>50</v>
      </c>
      <c r="E139" s="31" t="s">
        <v>45</v>
      </c>
      <c r="F139" s="31" t="s">
        <v>48</v>
      </c>
      <c r="G139" s="31" t="s">
        <v>49</v>
      </c>
      <c r="H139" s="127" t="s">
        <v>218</v>
      </c>
      <c r="I139" s="44">
        <v>10</v>
      </c>
      <c r="J139" s="44" t="e">
        <f t="shared" si="6"/>
        <v>#VALUE!</v>
      </c>
      <c r="K139" s="31" t="str">
        <f t="shared" si="7"/>
        <v>NO (Exceso)</v>
      </c>
      <c r="L139" s="43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>
      <c r="A140" s="40"/>
      <c r="B140" s="152"/>
      <c r="C140" s="45"/>
      <c r="D140" s="158"/>
      <c r="E140" s="155"/>
      <c r="F140" s="155"/>
      <c r="G140" s="155"/>
      <c r="H140" s="155"/>
      <c r="I140" s="155"/>
      <c r="J140" s="155"/>
      <c r="K140" s="159"/>
      <c r="L140" s="43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>
      <c r="A141" s="40"/>
      <c r="B141" s="152"/>
      <c r="C141" s="191" t="s">
        <v>57</v>
      </c>
      <c r="D141" s="31" t="s">
        <v>44</v>
      </c>
      <c r="E141" s="31" t="s">
        <v>45</v>
      </c>
      <c r="F141" s="31" t="s">
        <v>45</v>
      </c>
      <c r="G141" s="31" t="s">
        <v>47</v>
      </c>
      <c r="H141" s="127" t="s">
        <v>219</v>
      </c>
      <c r="I141" s="44">
        <v>10</v>
      </c>
      <c r="J141" s="44" t="e">
        <f t="shared" ref="J141:J146" si="8">(H141/I141)*100</f>
        <v>#VALUE!</v>
      </c>
      <c r="K141" s="31" t="str">
        <f t="shared" ref="K141:K146" si="9">IF(OR(H141="", H141=0), "Esperando dato...", IF(H141 &gt; I141, "NO (Exceso)", "SÍ (Margen: " &amp; TEXT(1-(H141/I141), "0%") &amp; ")"))</f>
        <v>NO (Exceso)</v>
      </c>
      <c r="L141" s="43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>
      <c r="A142" s="40"/>
      <c r="B142" s="152"/>
      <c r="C142" s="152"/>
      <c r="D142" s="31" t="s">
        <v>44</v>
      </c>
      <c r="E142" s="31" t="s">
        <v>45</v>
      </c>
      <c r="F142" s="31" t="s">
        <v>48</v>
      </c>
      <c r="G142" s="31" t="s">
        <v>49</v>
      </c>
      <c r="H142" s="127" t="s">
        <v>220</v>
      </c>
      <c r="I142" s="44">
        <v>50</v>
      </c>
      <c r="J142" s="44" t="e">
        <f t="shared" si="8"/>
        <v>#VALUE!</v>
      </c>
      <c r="K142" s="31" t="str">
        <f t="shared" si="9"/>
        <v>NO (Exceso)</v>
      </c>
      <c r="L142" s="43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>
      <c r="A143" s="40"/>
      <c r="B143" s="152"/>
      <c r="C143" s="152"/>
      <c r="D143" s="31" t="s">
        <v>44</v>
      </c>
      <c r="E143" s="31" t="s">
        <v>48</v>
      </c>
      <c r="F143" s="31" t="s">
        <v>45</v>
      </c>
      <c r="G143" s="31" t="s">
        <v>49</v>
      </c>
      <c r="H143" s="127" t="s">
        <v>224</v>
      </c>
      <c r="I143" s="44">
        <v>50</v>
      </c>
      <c r="J143" s="44" t="e">
        <f t="shared" si="8"/>
        <v>#VALUE!</v>
      </c>
      <c r="K143" s="31" t="str">
        <f t="shared" si="9"/>
        <v>NO (Exceso)</v>
      </c>
      <c r="L143" s="43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>
      <c r="A144" s="40"/>
      <c r="B144" s="152"/>
      <c r="C144" s="152"/>
      <c r="D144" s="31" t="s">
        <v>50</v>
      </c>
      <c r="E144" s="31" t="s">
        <v>45</v>
      </c>
      <c r="F144" s="31" t="s">
        <v>45</v>
      </c>
      <c r="G144" s="31" t="s">
        <v>47</v>
      </c>
      <c r="H144" s="127" t="s">
        <v>221</v>
      </c>
      <c r="I144" s="44">
        <v>50</v>
      </c>
      <c r="J144" s="44" t="e">
        <f t="shared" si="8"/>
        <v>#VALUE!</v>
      </c>
      <c r="K144" s="31" t="str">
        <f t="shared" si="9"/>
        <v>NO (Exceso)</v>
      </c>
      <c r="L144" s="43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>
      <c r="A145" s="40"/>
      <c r="B145" s="152"/>
      <c r="C145" s="152"/>
      <c r="D145" s="31" t="s">
        <v>50</v>
      </c>
      <c r="E145" s="31" t="s">
        <v>48</v>
      </c>
      <c r="F145" s="31" t="s">
        <v>45</v>
      </c>
      <c r="G145" s="31" t="s">
        <v>49</v>
      </c>
      <c r="H145" s="127" t="s">
        <v>222</v>
      </c>
      <c r="I145" s="44">
        <v>50</v>
      </c>
      <c r="J145" s="44" t="e">
        <f t="shared" si="8"/>
        <v>#VALUE!</v>
      </c>
      <c r="K145" s="31" t="str">
        <f t="shared" si="9"/>
        <v>NO (Exceso)</v>
      </c>
      <c r="L145" s="43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>
      <c r="A146" s="40"/>
      <c r="B146" s="152"/>
      <c r="C146" s="153"/>
      <c r="D146" s="31" t="s">
        <v>50</v>
      </c>
      <c r="E146" s="31" t="s">
        <v>45</v>
      </c>
      <c r="F146" s="31" t="s">
        <v>48</v>
      </c>
      <c r="G146" s="31" t="s">
        <v>49</v>
      </c>
      <c r="H146" s="127" t="s">
        <v>223</v>
      </c>
      <c r="I146" s="44">
        <v>10</v>
      </c>
      <c r="J146" s="44" t="e">
        <f t="shared" si="8"/>
        <v>#VALUE!</v>
      </c>
      <c r="K146" s="31" t="str">
        <f t="shared" si="9"/>
        <v>NO (Exceso)</v>
      </c>
      <c r="L146" s="43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>
      <c r="A147" s="40"/>
      <c r="B147" s="152"/>
      <c r="C147" s="45"/>
      <c r="D147" s="158"/>
      <c r="E147" s="155"/>
      <c r="F147" s="155"/>
      <c r="G147" s="155"/>
      <c r="H147" s="155"/>
      <c r="I147" s="155"/>
      <c r="J147" s="155"/>
      <c r="K147" s="159"/>
      <c r="L147" s="43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>
      <c r="A148" s="40"/>
      <c r="B148" s="152"/>
      <c r="C148" s="191" t="s">
        <v>58</v>
      </c>
      <c r="D148" s="31" t="s">
        <v>44</v>
      </c>
      <c r="E148" s="31" t="s">
        <v>45</v>
      </c>
      <c r="F148" s="31" t="s">
        <v>45</v>
      </c>
      <c r="G148" s="31" t="s">
        <v>47</v>
      </c>
      <c r="H148" s="127" t="s">
        <v>225</v>
      </c>
      <c r="I148" s="44">
        <v>10</v>
      </c>
      <c r="J148" s="44" t="e">
        <f t="shared" ref="J148:J153" si="10">(H148/I148)*100</f>
        <v>#VALUE!</v>
      </c>
      <c r="K148" s="31" t="str">
        <f t="shared" ref="K148:K153" si="11">IF(OR(H148="", H148=0), "Esperando dato...", IF(H148 &gt; I148, "NO (Exceso)", "SÍ (Margen: " &amp; TEXT(1-(H148/I148), "0%") &amp; ")"))</f>
        <v>NO (Exceso)</v>
      </c>
      <c r="L148" s="43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>
      <c r="A149" s="40"/>
      <c r="B149" s="152"/>
      <c r="C149" s="152"/>
      <c r="D149" s="31" t="s">
        <v>44</v>
      </c>
      <c r="E149" s="31" t="s">
        <v>45</v>
      </c>
      <c r="F149" s="31" t="s">
        <v>48</v>
      </c>
      <c r="G149" s="31" t="s">
        <v>49</v>
      </c>
      <c r="H149" s="127" t="s">
        <v>226</v>
      </c>
      <c r="I149" s="44">
        <v>50</v>
      </c>
      <c r="J149" s="44" t="e">
        <f t="shared" si="10"/>
        <v>#VALUE!</v>
      </c>
      <c r="K149" s="31" t="str">
        <f t="shared" si="11"/>
        <v>NO (Exceso)</v>
      </c>
      <c r="L149" s="43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>
      <c r="A150" s="40"/>
      <c r="B150" s="152"/>
      <c r="C150" s="152"/>
      <c r="D150" s="31" t="s">
        <v>44</v>
      </c>
      <c r="E150" s="31" t="s">
        <v>48</v>
      </c>
      <c r="F150" s="31" t="s">
        <v>45</v>
      </c>
      <c r="G150" s="31" t="s">
        <v>49</v>
      </c>
      <c r="H150" s="127" t="s">
        <v>227</v>
      </c>
      <c r="I150" s="44">
        <v>50</v>
      </c>
      <c r="J150" s="44" t="e">
        <f t="shared" si="10"/>
        <v>#VALUE!</v>
      </c>
      <c r="K150" s="31" t="str">
        <f t="shared" si="11"/>
        <v>NO (Exceso)</v>
      </c>
      <c r="L150" s="43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>
      <c r="A151" s="40"/>
      <c r="B151" s="152"/>
      <c r="C151" s="152"/>
      <c r="D151" s="31" t="s">
        <v>50</v>
      </c>
      <c r="E151" s="31" t="s">
        <v>45</v>
      </c>
      <c r="F151" s="31" t="s">
        <v>45</v>
      </c>
      <c r="G151" s="31" t="s">
        <v>47</v>
      </c>
      <c r="H151" s="127" t="s">
        <v>228</v>
      </c>
      <c r="I151" s="44">
        <v>50</v>
      </c>
      <c r="J151" s="44" t="e">
        <f t="shared" si="10"/>
        <v>#VALUE!</v>
      </c>
      <c r="K151" s="31" t="str">
        <f t="shared" si="11"/>
        <v>NO (Exceso)</v>
      </c>
      <c r="L151" s="43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>
      <c r="A152" s="40"/>
      <c r="B152" s="152"/>
      <c r="C152" s="152"/>
      <c r="D152" s="31" t="s">
        <v>50</v>
      </c>
      <c r="E152" s="31" t="s">
        <v>48</v>
      </c>
      <c r="F152" s="31" t="s">
        <v>45</v>
      </c>
      <c r="G152" s="31" t="s">
        <v>49</v>
      </c>
      <c r="H152" s="127" t="s">
        <v>229</v>
      </c>
      <c r="I152" s="44">
        <v>50</v>
      </c>
      <c r="J152" s="44" t="e">
        <f t="shared" si="10"/>
        <v>#VALUE!</v>
      </c>
      <c r="K152" s="31" t="str">
        <f t="shared" si="11"/>
        <v>NO (Exceso)</v>
      </c>
      <c r="L152" s="43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>
      <c r="A153" s="40"/>
      <c r="B153" s="152"/>
      <c r="C153" s="153"/>
      <c r="D153" s="31" t="s">
        <v>50</v>
      </c>
      <c r="E153" s="31" t="s">
        <v>45</v>
      </c>
      <c r="F153" s="31" t="s">
        <v>48</v>
      </c>
      <c r="G153" s="31" t="s">
        <v>49</v>
      </c>
      <c r="H153" s="127" t="s">
        <v>230</v>
      </c>
      <c r="I153" s="44">
        <v>10</v>
      </c>
      <c r="J153" s="44" t="e">
        <f t="shared" si="10"/>
        <v>#VALUE!</v>
      </c>
      <c r="K153" s="31" t="str">
        <f t="shared" si="11"/>
        <v>NO (Exceso)</v>
      </c>
      <c r="L153" s="43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>
      <c r="A154" s="40"/>
      <c r="B154" s="152"/>
      <c r="C154" s="158"/>
      <c r="D154" s="155"/>
      <c r="E154" s="155"/>
      <c r="F154" s="155"/>
      <c r="G154" s="155"/>
      <c r="H154" s="155"/>
      <c r="I154" s="155"/>
      <c r="J154" s="155"/>
      <c r="K154" s="159"/>
      <c r="L154" s="43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>
      <c r="A155" s="40"/>
      <c r="B155" s="152"/>
      <c r="C155" s="191" t="s">
        <v>59</v>
      </c>
      <c r="D155" s="31" t="s">
        <v>44</v>
      </c>
      <c r="E155" s="31" t="s">
        <v>45</v>
      </c>
      <c r="F155" s="31" t="s">
        <v>45</v>
      </c>
      <c r="G155" s="31" t="s">
        <v>47</v>
      </c>
      <c r="H155" s="127" t="s">
        <v>231</v>
      </c>
      <c r="I155" s="44">
        <v>10</v>
      </c>
      <c r="J155" s="44" t="e">
        <f t="shared" ref="J155:J160" si="12">(H155/I155)*100</f>
        <v>#VALUE!</v>
      </c>
      <c r="K155" s="31" t="str">
        <f t="shared" ref="K155:K160" si="13">IF(OR(H155="", H155=0), "Esperando dato...", IF(H155 &gt; I155, "NO (Exceso)", "SÍ (Margen: " &amp; TEXT(1-(H155/I155), "0%") &amp; ")"))</f>
        <v>NO (Exceso)</v>
      </c>
      <c r="L155" s="43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>
      <c r="A156" s="40"/>
      <c r="B156" s="152"/>
      <c r="C156" s="152"/>
      <c r="D156" s="31" t="s">
        <v>44</v>
      </c>
      <c r="E156" s="31" t="s">
        <v>45</v>
      </c>
      <c r="F156" s="31" t="s">
        <v>48</v>
      </c>
      <c r="G156" s="31" t="s">
        <v>49</v>
      </c>
      <c r="H156" s="127" t="s">
        <v>232</v>
      </c>
      <c r="I156" s="44">
        <v>50</v>
      </c>
      <c r="J156" s="44" t="e">
        <f t="shared" si="12"/>
        <v>#VALUE!</v>
      </c>
      <c r="K156" s="31" t="str">
        <f t="shared" si="13"/>
        <v>NO (Exceso)</v>
      </c>
      <c r="L156" s="43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>
      <c r="A157" s="40"/>
      <c r="B157" s="152"/>
      <c r="C157" s="152"/>
      <c r="D157" s="31" t="s">
        <v>44</v>
      </c>
      <c r="E157" s="31" t="s">
        <v>48</v>
      </c>
      <c r="F157" s="31" t="s">
        <v>45</v>
      </c>
      <c r="G157" s="31" t="s">
        <v>49</v>
      </c>
      <c r="H157" s="127" t="s">
        <v>233</v>
      </c>
      <c r="I157" s="44">
        <v>50</v>
      </c>
      <c r="J157" s="44" t="e">
        <f t="shared" si="12"/>
        <v>#VALUE!</v>
      </c>
      <c r="K157" s="31" t="str">
        <f t="shared" si="13"/>
        <v>NO (Exceso)</v>
      </c>
      <c r="L157" s="43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>
      <c r="A158" s="40"/>
      <c r="B158" s="152"/>
      <c r="C158" s="152"/>
      <c r="D158" s="31" t="s">
        <v>50</v>
      </c>
      <c r="E158" s="31" t="s">
        <v>45</v>
      </c>
      <c r="F158" s="31" t="s">
        <v>45</v>
      </c>
      <c r="G158" s="31" t="s">
        <v>47</v>
      </c>
      <c r="H158" s="127" t="s">
        <v>234</v>
      </c>
      <c r="I158" s="44">
        <v>50</v>
      </c>
      <c r="J158" s="44" t="e">
        <f t="shared" si="12"/>
        <v>#VALUE!</v>
      </c>
      <c r="K158" s="31" t="str">
        <f t="shared" si="13"/>
        <v>NO (Exceso)</v>
      </c>
      <c r="L158" s="43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>
      <c r="A159" s="40"/>
      <c r="B159" s="152"/>
      <c r="C159" s="152"/>
      <c r="D159" s="31" t="s">
        <v>50</v>
      </c>
      <c r="E159" s="31" t="s">
        <v>48</v>
      </c>
      <c r="F159" s="31" t="s">
        <v>45</v>
      </c>
      <c r="G159" s="31" t="s">
        <v>49</v>
      </c>
      <c r="H159" s="127" t="s">
        <v>235</v>
      </c>
      <c r="I159" s="44">
        <v>50</v>
      </c>
      <c r="J159" s="44" t="e">
        <f t="shared" si="12"/>
        <v>#VALUE!</v>
      </c>
      <c r="K159" s="31" t="str">
        <f t="shared" si="13"/>
        <v>NO (Exceso)</v>
      </c>
      <c r="L159" s="43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>
      <c r="A160" s="40"/>
      <c r="B160" s="153"/>
      <c r="C160" s="153"/>
      <c r="D160" s="31" t="s">
        <v>50</v>
      </c>
      <c r="E160" s="31" t="s">
        <v>45</v>
      </c>
      <c r="F160" s="31" t="s">
        <v>48</v>
      </c>
      <c r="G160" s="31" t="s">
        <v>49</v>
      </c>
      <c r="H160" s="127" t="s">
        <v>236</v>
      </c>
      <c r="I160" s="44">
        <v>10</v>
      </c>
      <c r="J160" s="44" t="e">
        <f t="shared" si="12"/>
        <v>#VALUE!</v>
      </c>
      <c r="K160" s="31" t="str">
        <f t="shared" si="13"/>
        <v>NO (Exceso)</v>
      </c>
      <c r="L160" s="43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>
      <c r="A161" s="1"/>
      <c r="B161" s="46"/>
      <c r="C161" s="160"/>
      <c r="D161" s="161"/>
      <c r="E161" s="161"/>
      <c r="F161" s="161"/>
      <c r="G161" s="162"/>
      <c r="H161" s="47"/>
      <c r="I161" s="47"/>
      <c r="J161" s="47"/>
      <c r="K161" s="25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>
      <c r="A162" s="1"/>
      <c r="B162" s="46"/>
      <c r="C162" s="163"/>
      <c r="D162" s="164"/>
      <c r="E162" s="164"/>
      <c r="F162" s="164"/>
      <c r="G162" s="165"/>
      <c r="H162" s="47"/>
      <c r="I162" s="47"/>
      <c r="J162" s="47"/>
      <c r="K162" s="25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>
      <c r="A163" s="1"/>
      <c r="B163" s="48"/>
      <c r="C163" s="27"/>
      <c r="D163" s="27"/>
      <c r="E163" s="27"/>
      <c r="F163" s="27"/>
      <c r="G163" s="27"/>
      <c r="H163" s="49"/>
      <c r="I163" s="49"/>
      <c r="J163" s="49"/>
      <c r="K163" s="5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>
      <c r="A164" s="1"/>
      <c r="B164" s="50" t="s">
        <v>60</v>
      </c>
      <c r="C164" s="27"/>
      <c r="D164" s="27"/>
      <c r="E164" s="27"/>
      <c r="F164" s="27"/>
      <c r="G164" s="27"/>
      <c r="H164" s="49"/>
      <c r="I164" s="49"/>
      <c r="J164" s="49"/>
      <c r="K164" s="5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>
      <c r="A165" s="1"/>
      <c r="B165" s="51" t="s">
        <v>61</v>
      </c>
      <c r="C165" s="27"/>
      <c r="D165" s="27"/>
      <c r="E165" s="27"/>
      <c r="F165" s="27"/>
      <c r="G165" s="27"/>
      <c r="H165" s="49"/>
      <c r="I165" s="49"/>
      <c r="J165" s="49"/>
      <c r="K165" s="5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>
      <c r="A166" s="1"/>
      <c r="B166" s="51" t="s">
        <v>62</v>
      </c>
      <c r="C166" s="27"/>
      <c r="D166" s="27"/>
      <c r="E166" s="27"/>
      <c r="F166" s="27"/>
      <c r="G166" s="27"/>
      <c r="H166" s="49"/>
      <c r="I166" s="49"/>
      <c r="J166" s="49"/>
      <c r="K166" s="5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>
      <c r="A167" s="1"/>
      <c r="B167" s="10" t="s">
        <v>63</v>
      </c>
      <c r="C167" s="27"/>
      <c r="D167" s="27"/>
      <c r="E167" s="27"/>
      <c r="F167" s="27"/>
      <c r="G167" s="27"/>
      <c r="H167" s="49"/>
      <c r="I167" s="49"/>
      <c r="J167" s="49"/>
      <c r="K167" s="5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>
      <c r="A168" s="1"/>
      <c r="B168" s="48"/>
      <c r="C168" s="27"/>
      <c r="D168" s="27"/>
      <c r="E168" s="27"/>
      <c r="F168" s="27"/>
      <c r="G168" s="27"/>
      <c r="H168" s="49"/>
      <c r="I168" s="49"/>
      <c r="J168" s="49"/>
      <c r="K168" s="5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>
      <c r="A169" s="1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>
      <c r="A170" s="1"/>
      <c r="B170" s="11" t="s">
        <v>64</v>
      </c>
      <c r="C170" s="5"/>
      <c r="D170" s="5"/>
      <c r="E170" s="5"/>
      <c r="F170" s="5"/>
      <c r="G170" s="5"/>
      <c r="H170" s="5"/>
      <c r="I170" s="5"/>
      <c r="J170" s="5"/>
      <c r="K170" s="5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>
      <c r="A171" s="1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>
      <c r="A172" s="1"/>
      <c r="B172" s="7" t="str">
        <f>+Datos!A70</f>
        <v>Se deja el equipo en buenas condiciones de funcionalidad.</v>
      </c>
      <c r="C172" s="5"/>
      <c r="D172" s="5"/>
      <c r="E172" s="5"/>
      <c r="F172" s="5"/>
      <c r="G172" s="5"/>
      <c r="H172" s="5"/>
      <c r="I172" s="5"/>
      <c r="J172" s="5"/>
      <c r="K172" s="5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>
      <c r="A173" s="1"/>
      <c r="B173" s="7"/>
      <c r="C173" s="5"/>
      <c r="D173" s="5"/>
      <c r="E173" s="5"/>
      <c r="F173" s="5"/>
      <c r="G173" s="5"/>
      <c r="H173" s="5"/>
      <c r="I173" s="5"/>
      <c r="J173" s="5"/>
      <c r="K173" s="5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>
      <c r="A174" s="1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>
      <c r="A175" s="1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>
      <c r="A176" s="1"/>
      <c r="B176" s="11" t="s">
        <v>65</v>
      </c>
      <c r="C176" s="5"/>
      <c r="D176" s="5"/>
      <c r="E176" s="5"/>
      <c r="F176" s="5"/>
      <c r="G176" s="5"/>
      <c r="H176" s="5"/>
      <c r="I176" s="5"/>
      <c r="J176" s="5"/>
      <c r="K176" s="5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>
      <c r="A177" s="1"/>
      <c r="B177" s="10"/>
      <c r="C177" s="5"/>
      <c r="D177" s="5"/>
      <c r="E177" s="5"/>
      <c r="F177" s="5"/>
      <c r="G177" s="5"/>
      <c r="H177" s="5"/>
      <c r="I177" s="5"/>
      <c r="J177" s="5"/>
      <c r="K177" s="5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>
      <c r="A178" s="1"/>
      <c r="B178" s="166" t="s">
        <v>66</v>
      </c>
      <c r="C178" s="167"/>
      <c r="D178" s="167"/>
      <c r="E178" s="167"/>
      <c r="F178" s="167"/>
      <c r="G178" s="167"/>
      <c r="H178" s="167"/>
      <c r="I178" s="167"/>
      <c r="J178" s="167"/>
      <c r="K178" s="168"/>
      <c r="L178" s="52"/>
      <c r="M178" s="5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>
      <c r="A179" s="1"/>
      <c r="B179" s="163"/>
      <c r="C179" s="164"/>
      <c r="D179" s="164"/>
      <c r="E179" s="164"/>
      <c r="F179" s="164"/>
      <c r="G179" s="164"/>
      <c r="H179" s="164"/>
      <c r="I179" s="164"/>
      <c r="J179" s="164"/>
      <c r="K179" s="165"/>
      <c r="L179" s="52"/>
      <c r="M179" s="5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>
      <c r="A180" s="1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2"/>
      <c r="M180" s="5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39" customHeight="1">
      <c r="A181" s="1"/>
      <c r="B181" s="169" t="s">
        <v>67</v>
      </c>
      <c r="C181" s="159"/>
      <c r="D181" s="169" t="s">
        <v>68</v>
      </c>
      <c r="E181" s="159"/>
      <c r="F181" s="169" t="s">
        <v>69</v>
      </c>
      <c r="G181" s="159"/>
      <c r="H181" s="169" t="s">
        <v>70</v>
      </c>
      <c r="I181" s="155"/>
      <c r="J181" s="159"/>
      <c r="K181" s="5"/>
      <c r="L181" s="52"/>
      <c r="M181" s="5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36.75" customHeight="1">
      <c r="A182" s="1"/>
      <c r="B182" s="171" t="str">
        <f>VLOOKUP(Datos!C74,Patrones!B4:F7,2,1)</f>
        <v>PB-13 Analizador de seguridad eléctrica Fluke ESA 615</v>
      </c>
      <c r="C182" s="159"/>
      <c r="D182" s="171" t="str">
        <f>VLOOKUP(Datos!C74,Patrones!B4:F7,3,1)</f>
        <v>J0908-21</v>
      </c>
      <c r="E182" s="159"/>
      <c r="F182" s="171" t="str">
        <f>VLOOKUP(Datos!C74,Patrones!B4:F7,5,1)</f>
        <v>SET&amp;GAD</v>
      </c>
      <c r="G182" s="159"/>
      <c r="H182" s="172">
        <f>VLOOKUP(Datos!C74,Patrones!B4:F7,4,1)</f>
        <v>44411</v>
      </c>
      <c r="I182" s="155"/>
      <c r="J182" s="159"/>
      <c r="K182" s="5"/>
      <c r="L182" s="52"/>
      <c r="M182" s="5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>
      <c r="A183" s="1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2"/>
      <c r="M183" s="5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>
      <c r="A184" s="1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>
      <c r="A185" s="1"/>
      <c r="B185" s="173" t="s">
        <v>71</v>
      </c>
      <c r="C185" s="141"/>
      <c r="D185" s="141"/>
      <c r="E185" s="141"/>
      <c r="F185" s="141"/>
      <c r="G185" s="141"/>
      <c r="H185" s="141"/>
      <c r="I185" s="141"/>
      <c r="J185" s="142"/>
      <c r="K185" s="5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46.5" customHeight="1">
      <c r="A186" s="1"/>
      <c r="B186" s="173" t="s">
        <v>72</v>
      </c>
      <c r="C186" s="141"/>
      <c r="D186" s="141"/>
      <c r="E186" s="141"/>
      <c r="F186" s="141"/>
      <c r="G186" s="141"/>
      <c r="H186" s="141"/>
      <c r="I186" s="141"/>
      <c r="J186" s="142"/>
      <c r="K186" s="5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>
      <c r="A187" s="1"/>
      <c r="B187" s="174" t="s">
        <v>73</v>
      </c>
      <c r="C187" s="141"/>
      <c r="D187" s="141"/>
      <c r="E187" s="141"/>
      <c r="F187" s="141"/>
      <c r="G187" s="141"/>
      <c r="H187" s="141"/>
      <c r="I187" s="141"/>
      <c r="J187" s="142"/>
      <c r="K187" s="5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>
      <c r="A188" s="1"/>
      <c r="B188" s="174" t="s">
        <v>74</v>
      </c>
      <c r="C188" s="141"/>
      <c r="D188" s="141"/>
      <c r="E188" s="141"/>
      <c r="F188" s="141"/>
      <c r="G188" s="141"/>
      <c r="H188" s="141"/>
      <c r="I188" s="141"/>
      <c r="J188" s="142"/>
      <c r="K188" s="5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33" customHeight="1">
      <c r="A189" s="1"/>
      <c r="B189" s="174" t="s">
        <v>75</v>
      </c>
      <c r="C189" s="141"/>
      <c r="D189" s="141"/>
      <c r="E189" s="141"/>
      <c r="F189" s="141"/>
      <c r="G189" s="141"/>
      <c r="H189" s="141"/>
      <c r="I189" s="141"/>
      <c r="J189" s="142"/>
      <c r="K189" s="5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61.5" customHeight="1">
      <c r="A190" s="1"/>
      <c r="B190" s="174" t="s">
        <v>76</v>
      </c>
      <c r="C190" s="141"/>
      <c r="D190" s="141"/>
      <c r="E190" s="141"/>
      <c r="F190" s="141"/>
      <c r="G190" s="141"/>
      <c r="H190" s="141"/>
      <c r="I190" s="141"/>
      <c r="J190" s="142"/>
      <c r="K190" s="5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31.5" customHeight="1">
      <c r="A191" s="1"/>
      <c r="B191" s="54"/>
      <c r="C191" s="54"/>
      <c r="D191" s="54"/>
      <c r="E191" s="54"/>
      <c r="F191" s="54"/>
      <c r="G191" s="54"/>
      <c r="H191" s="54"/>
      <c r="I191" s="54"/>
      <c r="J191" s="54"/>
      <c r="K191" s="5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>
      <c r="A192" s="1"/>
      <c r="B192" s="23" t="s">
        <v>77</v>
      </c>
      <c r="C192" s="55"/>
      <c r="D192" s="55"/>
      <c r="E192" s="55"/>
      <c r="F192" s="55"/>
      <c r="G192" s="5"/>
      <c r="H192" s="5"/>
      <c r="I192" s="5"/>
      <c r="J192" s="5"/>
      <c r="K192" s="5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9.5" customHeight="1">
      <c r="A193" s="1"/>
      <c r="B193" s="10"/>
      <c r="C193" s="55"/>
      <c r="D193" s="55"/>
      <c r="E193" s="55"/>
      <c r="F193" s="55"/>
      <c r="G193" s="5"/>
      <c r="H193" s="5"/>
      <c r="I193" s="5"/>
      <c r="J193" s="5"/>
      <c r="K193" s="5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>
      <c r="A194" s="1"/>
      <c r="B194" s="5" t="s">
        <v>78</v>
      </c>
      <c r="C194" s="5"/>
      <c r="D194" s="5"/>
      <c r="E194" s="5"/>
      <c r="F194" s="5" t="s">
        <v>79</v>
      </c>
      <c r="G194" s="5"/>
      <c r="H194" s="10"/>
      <c r="I194" s="5"/>
      <c r="J194" s="5"/>
      <c r="K194" s="5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>
      <c r="A195" s="1"/>
      <c r="B195" s="13"/>
      <c r="C195" s="10"/>
      <c r="D195" s="10"/>
      <c r="E195" s="10"/>
      <c r="F195" s="13"/>
      <c r="G195" s="5"/>
      <c r="H195" s="10"/>
      <c r="I195" s="5"/>
      <c r="J195" s="5"/>
      <c r="K195" s="5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>
      <c r="A196" s="1"/>
      <c r="B196" s="13"/>
      <c r="C196" s="10"/>
      <c r="D196" s="10"/>
      <c r="E196" s="10"/>
      <c r="F196" s="13"/>
      <c r="G196" s="5"/>
      <c r="H196" s="10"/>
      <c r="I196" s="5"/>
      <c r="J196" s="5"/>
      <c r="K196" s="5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>
      <c r="A197" s="1"/>
      <c r="B197" s="13"/>
      <c r="C197" s="10"/>
      <c r="D197" s="10"/>
      <c r="E197" s="10"/>
      <c r="F197" s="13"/>
      <c r="G197" s="5"/>
      <c r="H197" s="10"/>
      <c r="I197" s="5"/>
      <c r="J197" s="5"/>
      <c r="K197" s="5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>
      <c r="A198" s="1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>
      <c r="A199" s="1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>
      <c r="A200" s="1"/>
      <c r="B200" s="56"/>
      <c r="C200" s="57"/>
      <c r="D200" s="10"/>
      <c r="E200" s="10"/>
      <c r="F200" s="56"/>
      <c r="G200" s="57"/>
      <c r="H200" s="57"/>
      <c r="I200" s="39"/>
      <c r="J200" s="39"/>
      <c r="K200" s="5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>
      <c r="A201" s="1"/>
      <c r="B201" s="175" t="str">
        <f>+Datos!A80</f>
        <v>Mauricio Francisco Córdova Torres</v>
      </c>
      <c r="C201" s="141"/>
      <c r="D201" s="142"/>
      <c r="E201" s="10"/>
      <c r="F201" s="145" t="str">
        <f>+Datos!G80</f>
        <v>Sandra Milena Pérez Buitrago</v>
      </c>
      <c r="G201" s="141"/>
      <c r="H201" s="141"/>
      <c r="I201" s="141"/>
      <c r="J201" s="142"/>
      <c r="K201" s="5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>
      <c r="A202" s="1"/>
      <c r="B202" s="150" t="str">
        <f>+Datos!A81</f>
        <v>Ingeniero Electrónico</v>
      </c>
      <c r="C202" s="141"/>
      <c r="D202" s="142"/>
      <c r="E202" s="10"/>
      <c r="F202" s="143" t="str">
        <f>+Datos!G81</f>
        <v>PhD, Bioingeniera</v>
      </c>
      <c r="G202" s="141"/>
      <c r="H202" s="141"/>
      <c r="I202" s="141"/>
      <c r="J202" s="142"/>
      <c r="K202" s="5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>
      <c r="A203" s="1"/>
      <c r="B203" s="5"/>
      <c r="C203" s="5"/>
      <c r="D203" s="5"/>
      <c r="E203" s="5"/>
      <c r="F203" s="5" t="str">
        <f>+Datos!G82</f>
        <v>Jefe de Laboratorio</v>
      </c>
      <c r="G203" s="5"/>
      <c r="H203" s="5"/>
      <c r="I203" s="5"/>
      <c r="J203" s="5"/>
      <c r="K203" s="5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>
      <c r="A204" s="1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>
      <c r="A205" s="1"/>
      <c r="B205" s="5"/>
      <c r="C205" s="5"/>
      <c r="D205" s="170" t="s">
        <v>80</v>
      </c>
      <c r="E205" s="141"/>
      <c r="F205" s="141"/>
      <c r="G205" s="142"/>
      <c r="H205" s="5"/>
      <c r="I205" s="5"/>
      <c r="J205" s="5"/>
      <c r="K205" s="5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ht="15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 spans="1:27" ht="15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 spans="1:27" ht="15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 spans="1:27" ht="15.7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r="1015" spans="1:27" ht="15.7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r="1016" spans="1:27" ht="15.7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</row>
    <row r="1017" spans="1:27" ht="15.7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</row>
    <row r="1018" spans="1:27" ht="15.7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</row>
    <row r="1019" spans="1:27" ht="15.7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</row>
    <row r="1020" spans="1:27" ht="15.7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</row>
    <row r="1021" spans="1:27" ht="15.7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</row>
    <row r="1022" spans="1:27" ht="15.7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</row>
  </sheetData>
  <mergeCells count="70">
    <mergeCell ref="D147:K147"/>
    <mergeCell ref="K100:K104"/>
    <mergeCell ref="B112:B118"/>
    <mergeCell ref="K112:K118"/>
    <mergeCell ref="C133:K133"/>
    <mergeCell ref="D140:K140"/>
    <mergeCell ref="D81:E81"/>
    <mergeCell ref="F81:G81"/>
    <mergeCell ref="B126:B160"/>
    <mergeCell ref="C127:C132"/>
    <mergeCell ref="C134:C139"/>
    <mergeCell ref="C141:C146"/>
    <mergeCell ref="C148:C153"/>
    <mergeCell ref="C155:C160"/>
    <mergeCell ref="B81:C81"/>
    <mergeCell ref="B90:C90"/>
    <mergeCell ref="D90:E90"/>
    <mergeCell ref="F90:G90"/>
    <mergeCell ref="B91:C91"/>
    <mergeCell ref="D91:E91"/>
    <mergeCell ref="F91:G91"/>
    <mergeCell ref="B100:B104"/>
    <mergeCell ref="B67:J67"/>
    <mergeCell ref="B68:J68"/>
    <mergeCell ref="B69:J69"/>
    <mergeCell ref="B80:C80"/>
    <mergeCell ref="D80:E80"/>
    <mergeCell ref="F80:G80"/>
    <mergeCell ref="B62:J62"/>
    <mergeCell ref="B63:J63"/>
    <mergeCell ref="B64:J64"/>
    <mergeCell ref="B65:J65"/>
    <mergeCell ref="B66:J66"/>
    <mergeCell ref="C51:D51"/>
    <mergeCell ref="E51:F51"/>
    <mergeCell ref="B59:J59"/>
    <mergeCell ref="B60:J60"/>
    <mergeCell ref="B61:J61"/>
    <mergeCell ref="F38:G38"/>
    <mergeCell ref="F41:G41"/>
    <mergeCell ref="B48:J48"/>
    <mergeCell ref="C50:D50"/>
    <mergeCell ref="E50:F50"/>
    <mergeCell ref="A1:B2"/>
    <mergeCell ref="C1:K1"/>
    <mergeCell ref="C2:K2"/>
    <mergeCell ref="F10:K11"/>
    <mergeCell ref="F35:G35"/>
    <mergeCell ref="B202:D202"/>
    <mergeCell ref="F202:J202"/>
    <mergeCell ref="D205:G205"/>
    <mergeCell ref="B182:C182"/>
    <mergeCell ref="D182:E182"/>
    <mergeCell ref="F182:G182"/>
    <mergeCell ref="H182:J182"/>
    <mergeCell ref="B185:J185"/>
    <mergeCell ref="B186:J186"/>
    <mergeCell ref="B187:J187"/>
    <mergeCell ref="B188:J188"/>
    <mergeCell ref="B189:J189"/>
    <mergeCell ref="B190:J190"/>
    <mergeCell ref="B201:D201"/>
    <mergeCell ref="F201:J201"/>
    <mergeCell ref="C154:K154"/>
    <mergeCell ref="C161:G162"/>
    <mergeCell ref="B178:K179"/>
    <mergeCell ref="B181:C181"/>
    <mergeCell ref="D181:E181"/>
    <mergeCell ref="F181:G181"/>
    <mergeCell ref="H181:J181"/>
  </mergeCells>
  <conditionalFormatting sqref="F81:G81 F91:G91">
    <cfRule type="containsText" dxfId="13" priority="3" operator="containsText" text="SI">
      <formula>NOT(ISERROR(SEARCH(("SI"),(F81))))</formula>
    </cfRule>
  </conditionalFormatting>
  <conditionalFormatting sqref="F81:G81">
    <cfRule type="containsText" dxfId="12" priority="11" operator="containsText" text="NO">
      <formula>NOT(ISERROR(SEARCH(("NO"),(F81))))</formula>
    </cfRule>
  </conditionalFormatting>
  <conditionalFormatting sqref="F91:G91">
    <cfRule type="containsText" dxfId="11" priority="12" operator="containsText" text="NO">
      <formula>NOT(ISERROR(SEARCH(("NO"),(F91))))</formula>
    </cfRule>
  </conditionalFormatting>
  <conditionalFormatting sqref="J101:J104">
    <cfRule type="containsText" dxfId="10" priority="1" operator="containsText" text="SÍ">
      <formula>NOT(ISERROR(SEARCH(("SÍ"),(J101))))</formula>
    </cfRule>
    <cfRule type="containsText" dxfId="9" priority="2" operator="containsText" text="NO">
      <formula>NOT(ISERROR(SEARCH(("NO"),(J101))))</formula>
    </cfRule>
    <cfRule type="containsText" dxfId="8" priority="8" operator="containsText" text="Esperando">
      <formula>NOT(ISERROR(SEARCH(("Esperando"),(J101))))</formula>
    </cfRule>
  </conditionalFormatting>
  <conditionalFormatting sqref="J113:J118">
    <cfRule type="containsText" dxfId="7" priority="4" operator="containsText" text="SÍ">
      <formula>NOT(ISERROR(SEARCH(("SÍ"),(J113))))</formula>
    </cfRule>
    <cfRule type="containsText" dxfId="6" priority="5" operator="containsText" text="NO">
      <formula>NOT(ISERROR(SEARCH(("NO"),(J113))))</formula>
    </cfRule>
    <cfRule type="containsText" dxfId="5" priority="9" operator="containsText" text="Esperando">
      <formula>NOT(ISERROR(SEARCH(("Esperando"),(J113))))</formula>
    </cfRule>
  </conditionalFormatting>
  <conditionalFormatting sqref="K127:K132 K134:K139 K141:K146 K148:K153 K155:K160">
    <cfRule type="containsText" dxfId="4" priority="6" operator="containsText" text="SÍ">
      <formula>NOT(ISERROR(SEARCH(("SÍ"),(K127))))</formula>
    </cfRule>
    <cfRule type="containsText" dxfId="3" priority="7" operator="containsText" text="NO">
      <formula>NOT(ISERROR(SEARCH(("NO"),(K127))))</formula>
    </cfRule>
    <cfRule type="containsText" dxfId="2" priority="10" operator="containsText" text="Esperando">
      <formula>NOT(ISERROR(SEARCH(("Esperando"),(K127))))</formula>
    </cfRule>
  </conditionalFormatting>
  <pageMargins left="0.74803149606299213" right="0.74803149606299213" top="0.70866141732283472" bottom="0.70866141732283472" header="0" footer="0"/>
  <pageSetup paperSize="8" scale="63" orientation="landscape" r:id="rId1"/>
  <headerFooter>
    <oddFooter>&amp;CLaboratorio de Metrología y Validación de Equipos Biomédicos de la PUCP Avenida Universitaria 1801, San Miguel, Lima dispositivos.medicos@pucp.edu.pe&amp;R&amp;P de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51" workbookViewId="0">
      <selection activeCell="J67" sqref="J67"/>
    </sheetView>
  </sheetViews>
  <sheetFormatPr baseColWidth="10" defaultColWidth="14.44140625" defaultRowHeight="15" customHeight="1"/>
  <cols>
    <col min="1" max="1" width="16.88671875" customWidth="1"/>
    <col min="2" max="2" width="18.5546875" customWidth="1"/>
    <col min="3" max="3" width="18.6640625" customWidth="1"/>
    <col min="4" max="4" width="18" customWidth="1"/>
    <col min="5" max="5" width="18.33203125" customWidth="1"/>
    <col min="6" max="6" width="20.109375" customWidth="1"/>
    <col min="7" max="7" width="15.33203125" customWidth="1"/>
    <col min="8" max="8" width="16.33203125" customWidth="1"/>
    <col min="9" max="9" width="14.88671875" customWidth="1"/>
    <col min="10" max="10" width="16.88671875" customWidth="1"/>
    <col min="11" max="11" width="17.6640625" customWidth="1"/>
    <col min="12" max="12" width="19.88671875" customWidth="1"/>
    <col min="13" max="13" width="21.44140625" customWidth="1"/>
    <col min="14" max="14" width="19.109375" customWidth="1"/>
    <col min="15" max="15" width="20.88671875" customWidth="1"/>
    <col min="16" max="26" width="9.109375" customWidth="1"/>
  </cols>
  <sheetData>
    <row r="1" spans="1:26" ht="48.75" customHeight="1">
      <c r="A1" s="130"/>
      <c r="B1" s="131"/>
      <c r="C1" s="134" t="s">
        <v>0</v>
      </c>
      <c r="D1" s="135"/>
      <c r="E1" s="135"/>
      <c r="F1" s="135"/>
      <c r="G1" s="135"/>
      <c r="H1" s="135"/>
      <c r="I1" s="135"/>
      <c r="J1" s="135"/>
      <c r="K1" s="135"/>
      <c r="L1" s="135"/>
      <c r="M1" s="136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50.25" customHeight="1">
      <c r="A2" s="132"/>
      <c r="B2" s="133"/>
      <c r="C2" s="137" t="s">
        <v>1</v>
      </c>
      <c r="D2" s="138"/>
      <c r="E2" s="138"/>
      <c r="F2" s="138"/>
      <c r="G2" s="138"/>
      <c r="H2" s="138"/>
      <c r="I2" s="138"/>
      <c r="J2" s="138"/>
      <c r="K2" s="138"/>
      <c r="L2" s="138"/>
      <c r="M2" s="13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0" customHeight="1">
      <c r="A3" s="58"/>
      <c r="B3" s="59"/>
      <c r="C3" s="59"/>
      <c r="D3" s="59"/>
      <c r="E3" s="59"/>
      <c r="F3" s="59"/>
      <c r="G3" s="59"/>
      <c r="H3" s="59"/>
      <c r="I3" s="59"/>
      <c r="J3" s="60"/>
      <c r="K3" s="60"/>
      <c r="L3" s="60"/>
      <c r="M3" s="60"/>
      <c r="N3" s="61"/>
      <c r="O3" s="61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42" customHeight="1">
      <c r="A4" s="62" t="s">
        <v>81</v>
      </c>
      <c r="B4" s="62" t="s">
        <v>82</v>
      </c>
      <c r="C4" s="62" t="s">
        <v>83</v>
      </c>
      <c r="D4" s="62" t="s">
        <v>84</v>
      </c>
      <c r="E4" s="62" t="s">
        <v>85</v>
      </c>
      <c r="F4" s="62" t="s">
        <v>86</v>
      </c>
      <c r="G4" s="62" t="s">
        <v>87</v>
      </c>
      <c r="H4" s="62" t="s">
        <v>88</v>
      </c>
      <c r="I4" s="62" t="s">
        <v>89</v>
      </c>
      <c r="J4" s="62" t="s">
        <v>90</v>
      </c>
      <c r="K4" s="62" t="s">
        <v>91</v>
      </c>
      <c r="L4" s="62" t="s">
        <v>92</v>
      </c>
      <c r="M4" s="62" t="s">
        <v>93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55.5" customHeight="1">
      <c r="A5" s="63"/>
      <c r="B5" s="63" t="s">
        <v>94</v>
      </c>
      <c r="C5" s="63"/>
      <c r="D5" s="63" t="s">
        <v>95</v>
      </c>
      <c r="E5" s="63"/>
      <c r="F5" s="63" t="s">
        <v>96</v>
      </c>
      <c r="G5" s="63" t="s">
        <v>97</v>
      </c>
      <c r="H5" s="63" t="s">
        <v>98</v>
      </c>
      <c r="I5" s="63" t="s">
        <v>99</v>
      </c>
      <c r="J5" s="63">
        <v>16794</v>
      </c>
      <c r="K5" s="64" t="s">
        <v>100</v>
      </c>
      <c r="L5" s="64" t="s">
        <v>100</v>
      </c>
      <c r="M5" s="64" t="s">
        <v>101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6.5" customHeight="1">
      <c r="A6" s="58"/>
      <c r="B6" s="59"/>
      <c r="C6" s="60"/>
      <c r="D6" s="60"/>
      <c r="E6" s="65"/>
      <c r="F6" s="65"/>
      <c r="G6" s="5"/>
      <c r="H6" s="66"/>
      <c r="I6" s="66"/>
      <c r="J6" s="66"/>
      <c r="K6" s="67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7.25" customHeight="1">
      <c r="A7" s="66"/>
      <c r="B7" s="5"/>
      <c r="C7" s="68"/>
      <c r="D7" s="69"/>
      <c r="E7" s="70"/>
      <c r="F7" s="66"/>
      <c r="G7" s="5"/>
      <c r="H7" s="69"/>
      <c r="I7" s="69"/>
      <c r="J7" s="69"/>
      <c r="K7" s="71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7.25" customHeight="1">
      <c r="A8" s="72"/>
      <c r="B8" s="5"/>
      <c r="C8" s="73"/>
      <c r="D8" s="67"/>
      <c r="E8" s="67"/>
      <c r="F8" s="5"/>
      <c r="G8" s="5"/>
      <c r="H8" s="5"/>
      <c r="I8" s="5"/>
      <c r="J8" s="5"/>
      <c r="K8" s="71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7.25" customHeight="1">
      <c r="A9" s="74" t="s">
        <v>14</v>
      </c>
      <c r="B9" s="75"/>
      <c r="C9" s="76"/>
      <c r="D9" s="75"/>
      <c r="E9" s="75"/>
      <c r="F9" s="75"/>
      <c r="G9" s="5"/>
      <c r="H9" s="5"/>
      <c r="I9" s="5"/>
      <c r="J9" s="5"/>
      <c r="K9" s="71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7.25" customHeight="1">
      <c r="A10" s="75"/>
      <c r="B10" s="75"/>
      <c r="C10" s="76"/>
      <c r="D10" s="75"/>
      <c r="E10" s="75"/>
      <c r="F10" s="75"/>
      <c r="G10" s="5"/>
      <c r="H10" s="5"/>
      <c r="I10" s="5"/>
      <c r="J10" s="5"/>
      <c r="K10" s="71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7.25" customHeight="1">
      <c r="A11" s="75"/>
      <c r="B11" s="75"/>
      <c r="C11" s="75"/>
      <c r="D11" s="77" t="s">
        <v>102</v>
      </c>
      <c r="E11" s="78" t="s">
        <v>103</v>
      </c>
      <c r="F11" s="78" t="s">
        <v>104</v>
      </c>
      <c r="G11" s="5"/>
      <c r="H11" s="5"/>
      <c r="I11" s="5"/>
      <c r="J11" s="5"/>
      <c r="K11" s="71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7.25" customHeight="1">
      <c r="A12" s="75"/>
      <c r="B12" s="75"/>
      <c r="C12" s="79" t="s">
        <v>105</v>
      </c>
      <c r="D12" s="80">
        <v>20.9</v>
      </c>
      <c r="E12" s="80">
        <v>22.1</v>
      </c>
      <c r="F12" s="81">
        <f t="shared" ref="F12:F13" si="0">AVERAGE(D12:E12)</f>
        <v>21.5</v>
      </c>
      <c r="G12" s="5"/>
      <c r="H12" s="5"/>
      <c r="I12" s="5"/>
      <c r="J12" s="5"/>
      <c r="K12" s="71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7.25" customHeight="1">
      <c r="A13" s="75"/>
      <c r="B13" s="75"/>
      <c r="C13" s="79" t="s">
        <v>106</v>
      </c>
      <c r="D13" s="80">
        <v>51.3</v>
      </c>
      <c r="E13" s="80">
        <v>54.2</v>
      </c>
      <c r="F13" s="81">
        <f t="shared" si="0"/>
        <v>52.75</v>
      </c>
      <c r="G13" s="5"/>
      <c r="H13" s="5"/>
      <c r="I13" s="5"/>
      <c r="J13" s="5"/>
      <c r="K13" s="71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7.25" customHeight="1">
      <c r="A14" s="5"/>
      <c r="B14" s="67"/>
      <c r="C14" s="82"/>
      <c r="D14" s="82"/>
      <c r="E14" s="83"/>
      <c r="F14" s="83"/>
      <c r="G14" s="5"/>
      <c r="H14" s="5"/>
      <c r="I14" s="5"/>
      <c r="J14" s="5"/>
      <c r="K14" s="71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7.25" customHeight="1">
      <c r="A15" s="5"/>
      <c r="B15" s="67"/>
      <c r="C15" s="82"/>
      <c r="D15" s="82"/>
      <c r="E15" s="83"/>
      <c r="F15" s="83"/>
      <c r="G15" s="5"/>
      <c r="H15" s="5"/>
      <c r="I15" s="5"/>
      <c r="J15" s="5"/>
      <c r="K15" s="71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7.25" customHeight="1">
      <c r="A16" s="10" t="s">
        <v>107</v>
      </c>
      <c r="B16" s="10" t="s">
        <v>108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7.25" customHeight="1">
      <c r="A17" s="5"/>
      <c r="B17" s="5" t="s">
        <v>109</v>
      </c>
      <c r="C17" s="5"/>
      <c r="D17" s="5"/>
      <c r="E17" s="5"/>
      <c r="F17" s="5"/>
      <c r="G17" s="5"/>
      <c r="H17" s="5"/>
      <c r="I17" s="5"/>
      <c r="J17" s="5"/>
      <c r="K17" s="5" t="s">
        <v>110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7.25" customHeight="1">
      <c r="A18" s="5"/>
      <c r="B18" s="84" t="str">
        <f>+CONCATENATE("Los valores de la tabla se expresan en ",K17)</f>
        <v>Los valores de la tabla se expresan en V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7.2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3" customHeight="1">
      <c r="A20" s="5"/>
      <c r="B20" s="29" t="s">
        <v>111</v>
      </c>
      <c r="C20" s="85" t="s">
        <v>112</v>
      </c>
      <c r="D20" s="85" t="s">
        <v>113</v>
      </c>
      <c r="E20" s="85" t="s">
        <v>114</v>
      </c>
      <c r="F20" s="30" t="s">
        <v>36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7.25" customHeight="1">
      <c r="A21" s="5"/>
      <c r="B21" s="31" t="s">
        <v>115</v>
      </c>
      <c r="C21" s="86" t="s">
        <v>237</v>
      </c>
      <c r="D21" s="86" t="s">
        <v>238</v>
      </c>
      <c r="E21" s="86" t="s">
        <v>239</v>
      </c>
      <c r="F21" s="31" t="str">
        <f>IF(AND(C21 &gt;= 209, C21 &lt;= 231, D21 &lt;= 5), "SI", "NO")</f>
        <v>NO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7.25" customHeight="1">
      <c r="A22" s="5"/>
      <c r="B22" s="27"/>
      <c r="C22" s="27"/>
      <c r="D22" s="27"/>
      <c r="E22" s="27"/>
      <c r="F22" s="27"/>
      <c r="G22" s="27"/>
      <c r="H22" s="27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7.25" customHeight="1">
      <c r="A23" s="10" t="s">
        <v>116</v>
      </c>
      <c r="B23" s="140" t="s">
        <v>117</v>
      </c>
      <c r="C23" s="141"/>
      <c r="D23" s="141"/>
      <c r="E23" s="141"/>
      <c r="F23" s="141"/>
      <c r="G23" s="141"/>
      <c r="H23" s="142"/>
      <c r="I23" s="5"/>
      <c r="J23" s="5"/>
      <c r="K23" s="5"/>
      <c r="L23" s="5"/>
      <c r="M23" s="5"/>
      <c r="N23" s="5"/>
      <c r="O23" s="5"/>
      <c r="P23" s="5"/>
      <c r="Q23" s="87"/>
      <c r="R23" s="87"/>
      <c r="S23" s="87"/>
      <c r="T23" s="87"/>
      <c r="U23" s="87"/>
      <c r="V23" s="87"/>
      <c r="W23" s="87"/>
      <c r="X23" s="5"/>
      <c r="Y23" s="5"/>
      <c r="Z23" s="5"/>
    </row>
    <row r="24" spans="1:26" ht="17.25" customHeight="1">
      <c r="A24" s="5"/>
      <c r="B24" s="143" t="s">
        <v>118</v>
      </c>
      <c r="C24" s="141"/>
      <c r="D24" s="141"/>
      <c r="E24" s="141"/>
      <c r="F24" s="141"/>
      <c r="G24" s="141"/>
      <c r="H24" s="141"/>
      <c r="I24" s="141"/>
      <c r="J24" s="142"/>
      <c r="K24" s="5"/>
      <c r="L24" s="5"/>
      <c r="M24" s="5"/>
      <c r="N24" s="5"/>
      <c r="O24" s="5"/>
      <c r="P24" s="87"/>
      <c r="Q24" s="87"/>
      <c r="R24" s="87"/>
      <c r="S24" s="87"/>
      <c r="T24" s="87"/>
      <c r="U24" s="87"/>
      <c r="V24" s="87"/>
      <c r="W24" s="87"/>
      <c r="X24" s="5"/>
      <c r="Y24" s="5"/>
      <c r="Z24" s="5"/>
    </row>
    <row r="25" spans="1:26" ht="17.25" customHeight="1">
      <c r="A25" s="5"/>
      <c r="B25" s="84" t="str">
        <f>+CONCATENATE("Los valores de la tabla se expresan en ",K25)</f>
        <v>Los valores de la tabla se expresan en Ω</v>
      </c>
      <c r="C25" s="7"/>
      <c r="D25" s="7"/>
      <c r="E25" s="7"/>
      <c r="F25" s="7"/>
      <c r="G25" s="7"/>
      <c r="H25" s="7"/>
      <c r="I25" s="7"/>
      <c r="J25" s="7"/>
      <c r="K25" s="88" t="s">
        <v>119</v>
      </c>
      <c r="L25" s="5"/>
      <c r="M25" s="5"/>
      <c r="N25" s="5"/>
      <c r="O25" s="5"/>
      <c r="P25" s="87"/>
      <c r="Q25" s="87"/>
      <c r="R25" s="87"/>
      <c r="S25" s="87"/>
      <c r="T25" s="87"/>
      <c r="U25" s="87"/>
      <c r="V25" s="87"/>
      <c r="W25" s="87"/>
      <c r="X25" s="5"/>
      <c r="Y25" s="5"/>
      <c r="Z25" s="5"/>
    </row>
    <row r="26" spans="1:26" ht="17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6" customHeight="1">
      <c r="A27" s="5"/>
      <c r="B27" s="29" t="s">
        <v>120</v>
      </c>
      <c r="C27" s="30" t="s">
        <v>121</v>
      </c>
      <c r="D27" s="30" t="s">
        <v>122</v>
      </c>
      <c r="E27" s="30" t="s">
        <v>123</v>
      </c>
      <c r="F27" s="30" t="s">
        <v>124</v>
      </c>
      <c r="G27" s="29" t="s">
        <v>36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7.25" customHeight="1">
      <c r="A28" s="5"/>
      <c r="B28" s="31">
        <v>0.2</v>
      </c>
      <c r="C28" s="86" t="s">
        <v>240</v>
      </c>
      <c r="D28" s="86" t="s">
        <v>241</v>
      </c>
      <c r="E28" s="86" t="s">
        <v>242</v>
      </c>
      <c r="F28" s="31" t="e">
        <f>AVERAGE(C28:E28)</f>
        <v>#DIV/0!</v>
      </c>
      <c r="G28" s="31" t="e">
        <f>IF(F28&lt;=B28,"SI","NO ")</f>
        <v>#DIV/0!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7.25" customHeight="1">
      <c r="A29" s="5"/>
      <c r="B29" s="27"/>
      <c r="C29" s="27"/>
      <c r="D29" s="89"/>
      <c r="E29" s="27"/>
      <c r="F29" s="27"/>
      <c r="G29" s="27"/>
      <c r="H29" s="27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7.25" customHeight="1">
      <c r="A30" s="5"/>
      <c r="B30" s="27"/>
      <c r="C30" s="27"/>
      <c r="D30" s="89"/>
      <c r="E30" s="27"/>
      <c r="F30" s="27"/>
      <c r="G30" s="27"/>
      <c r="H30" s="27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7.25" customHeight="1">
      <c r="A31" s="10" t="s">
        <v>125</v>
      </c>
      <c r="B31" s="144"/>
      <c r="C31" s="141"/>
      <c r="D31" s="141"/>
      <c r="E31" s="141"/>
      <c r="F31" s="141"/>
      <c r="G31" s="141"/>
      <c r="H31" s="141"/>
      <c r="I31" s="142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7.25" customHeight="1">
      <c r="A32" s="5"/>
      <c r="B32" s="5" t="s">
        <v>126</v>
      </c>
      <c r="C32" s="90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7.25" customHeight="1">
      <c r="A33" s="10" t="s">
        <v>127</v>
      </c>
      <c r="B33" s="145" t="s">
        <v>128</v>
      </c>
      <c r="C33" s="142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7.25" customHeight="1">
      <c r="A34" s="10"/>
      <c r="B34" s="84" t="str">
        <f>+CONCATENATE("Los valores de la tabla se expresan en ",K34)</f>
        <v>Los valores de la tabla se expresan en µA</v>
      </c>
      <c r="C34" s="84"/>
      <c r="D34" s="27"/>
      <c r="E34" s="5"/>
      <c r="F34" s="5"/>
      <c r="G34" s="5"/>
      <c r="H34" s="5"/>
      <c r="I34" s="5"/>
      <c r="J34" s="5"/>
      <c r="K34" s="27" t="s">
        <v>129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7.25" customHeight="1">
      <c r="A35" s="10"/>
      <c r="B35" s="84"/>
      <c r="C35" s="84"/>
      <c r="D35" s="27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46.5" customHeight="1">
      <c r="A36" s="5"/>
      <c r="B36" s="151" t="s">
        <v>37</v>
      </c>
      <c r="C36" s="30" t="s">
        <v>130</v>
      </c>
      <c r="D36" s="28" t="s">
        <v>131</v>
      </c>
      <c r="E36" s="29" t="s">
        <v>39</v>
      </c>
      <c r="F36" s="29" t="s">
        <v>37</v>
      </c>
      <c r="G36" s="30" t="s">
        <v>132</v>
      </c>
      <c r="H36" s="85" t="s">
        <v>133</v>
      </c>
      <c r="I36" s="85" t="s">
        <v>134</v>
      </c>
      <c r="J36" s="85" t="s">
        <v>135</v>
      </c>
      <c r="K36" s="30" t="s">
        <v>124</v>
      </c>
      <c r="L36" s="29" t="s">
        <v>36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6.5" customHeight="1">
      <c r="A37" s="5"/>
      <c r="B37" s="152"/>
      <c r="C37" s="32" t="s">
        <v>136</v>
      </c>
      <c r="D37" s="31" t="s">
        <v>44</v>
      </c>
      <c r="E37" s="31" t="s">
        <v>45</v>
      </c>
      <c r="F37" s="31" t="s">
        <v>46</v>
      </c>
      <c r="G37" s="34">
        <v>500</v>
      </c>
      <c r="H37" s="91" t="s">
        <v>243</v>
      </c>
      <c r="I37" s="91" t="s">
        <v>244</v>
      </c>
      <c r="J37" s="91" t="s">
        <v>245</v>
      </c>
      <c r="K37" s="33" t="e">
        <f t="shared" ref="K37:K41" si="1">AVERAGE(H37:J37)</f>
        <v>#DIV/0!</v>
      </c>
      <c r="L37" s="31" t="e">
        <f t="shared" ref="L37:L41" si="2">IF(K37&lt;=G37,"SI","NO ")</f>
        <v>#DIV/0!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6.5" customHeight="1">
      <c r="A38" s="5"/>
      <c r="B38" s="152"/>
      <c r="C38" s="31" t="s">
        <v>137</v>
      </c>
      <c r="D38" s="31" t="s">
        <v>44</v>
      </c>
      <c r="E38" s="31" t="s">
        <v>48</v>
      </c>
      <c r="F38" s="31" t="s">
        <v>46</v>
      </c>
      <c r="G38" s="36">
        <v>1000</v>
      </c>
      <c r="H38" s="86" t="s">
        <v>246</v>
      </c>
      <c r="I38" s="86" t="s">
        <v>247</v>
      </c>
      <c r="J38" s="86" t="s">
        <v>248</v>
      </c>
      <c r="K38" s="33" t="e">
        <f t="shared" si="1"/>
        <v>#DIV/0!</v>
      </c>
      <c r="L38" s="31" t="e">
        <f t="shared" si="2"/>
        <v>#DIV/0!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6.5" customHeight="1">
      <c r="A39" s="5"/>
      <c r="B39" s="152"/>
      <c r="C39" s="31" t="s">
        <v>137</v>
      </c>
      <c r="D39" s="31" t="s">
        <v>137</v>
      </c>
      <c r="E39" s="31" t="s">
        <v>46</v>
      </c>
      <c r="F39" s="31" t="s">
        <v>46</v>
      </c>
      <c r="G39" s="36">
        <v>500</v>
      </c>
      <c r="H39" s="86" t="s">
        <v>249</v>
      </c>
      <c r="I39" s="86" t="s">
        <v>250</v>
      </c>
      <c r="J39" s="86" t="s">
        <v>251</v>
      </c>
      <c r="K39" s="92" t="e">
        <f t="shared" si="1"/>
        <v>#DIV/0!</v>
      </c>
      <c r="L39" s="31" t="e">
        <f t="shared" si="2"/>
        <v>#DIV/0!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6.5" customHeight="1">
      <c r="A40" s="5"/>
      <c r="B40" s="152"/>
      <c r="C40" s="37" t="s">
        <v>137</v>
      </c>
      <c r="D40" s="31" t="s">
        <v>50</v>
      </c>
      <c r="E40" s="31" t="s">
        <v>48</v>
      </c>
      <c r="F40" s="31" t="s">
        <v>46</v>
      </c>
      <c r="G40" s="36">
        <v>1000</v>
      </c>
      <c r="H40" s="86" t="s">
        <v>252</v>
      </c>
      <c r="I40" s="86" t="s">
        <v>253</v>
      </c>
      <c r="J40" s="86" t="s">
        <v>254</v>
      </c>
      <c r="K40" s="92" t="e">
        <f t="shared" si="1"/>
        <v>#DIV/0!</v>
      </c>
      <c r="L40" s="31" t="e">
        <f t="shared" si="2"/>
        <v>#DIV/0!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6.5" customHeight="1">
      <c r="A41" s="5"/>
      <c r="B41" s="153"/>
      <c r="C41" s="31" t="s">
        <v>136</v>
      </c>
      <c r="D41" s="31" t="s">
        <v>50</v>
      </c>
      <c r="E41" s="31" t="s">
        <v>45</v>
      </c>
      <c r="F41" s="31" t="s">
        <v>46</v>
      </c>
      <c r="G41" s="31">
        <v>500</v>
      </c>
      <c r="H41" s="93" t="s">
        <v>255</v>
      </c>
      <c r="I41" s="93" t="s">
        <v>256</v>
      </c>
      <c r="J41" s="93" t="s">
        <v>257</v>
      </c>
      <c r="K41" s="92" t="e">
        <f t="shared" si="1"/>
        <v>#DIV/0!</v>
      </c>
      <c r="L41" s="31" t="e">
        <f t="shared" si="2"/>
        <v>#DIV/0!</v>
      </c>
      <c r="M41" s="27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7.25" customHeight="1">
      <c r="A42" s="5"/>
      <c r="B42" s="94"/>
      <c r="C42" s="27"/>
      <c r="D42" s="27"/>
      <c r="E42" s="27"/>
      <c r="F42" s="27"/>
      <c r="G42" s="27"/>
      <c r="H42" s="27"/>
      <c r="I42" s="27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7.25" customHeight="1">
      <c r="A43" s="10" t="s">
        <v>138</v>
      </c>
      <c r="B43" s="145" t="s">
        <v>139</v>
      </c>
      <c r="C43" s="142"/>
      <c r="D43" s="5"/>
      <c r="E43" s="5"/>
      <c r="F43" s="5"/>
      <c r="G43" s="5"/>
      <c r="H43" s="5"/>
      <c r="I43" s="5"/>
      <c r="J43" s="5"/>
      <c r="K43" s="27" t="s">
        <v>129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7.25" customHeight="1">
      <c r="A44" s="10"/>
      <c r="B44" s="84" t="str">
        <f>+CONCATENATE("Los valores de la tabla se expresan en ",K43)</f>
        <v>Los valores de la tabla se expresan en µA</v>
      </c>
      <c r="C44" s="84"/>
      <c r="D44" s="27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7.25" customHeight="1">
      <c r="A45" s="10"/>
      <c r="B45" s="10"/>
      <c r="C45" s="27"/>
      <c r="D45" s="27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9.75" customHeight="1">
      <c r="A46" s="5"/>
      <c r="B46" s="151" t="s">
        <v>51</v>
      </c>
      <c r="C46" s="30" t="s">
        <v>130</v>
      </c>
      <c r="D46" s="28" t="s">
        <v>131</v>
      </c>
      <c r="E46" s="29" t="s">
        <v>39</v>
      </c>
      <c r="F46" s="29" t="s">
        <v>37</v>
      </c>
      <c r="G46" s="30" t="s">
        <v>132</v>
      </c>
      <c r="H46" s="85" t="s">
        <v>133</v>
      </c>
      <c r="I46" s="85" t="s">
        <v>140</v>
      </c>
      <c r="J46" s="85" t="s">
        <v>135</v>
      </c>
      <c r="K46" s="30" t="s">
        <v>124</v>
      </c>
      <c r="L46" s="29" t="s">
        <v>36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6.5" customHeight="1">
      <c r="A47" s="5"/>
      <c r="B47" s="152"/>
      <c r="C47" s="31" t="s">
        <v>136</v>
      </c>
      <c r="D47" s="31" t="s">
        <v>50</v>
      </c>
      <c r="E47" s="31" t="s">
        <v>45</v>
      </c>
      <c r="F47" s="31" t="s">
        <v>45</v>
      </c>
      <c r="G47" s="32">
        <v>500</v>
      </c>
      <c r="H47" s="86" t="s">
        <v>258</v>
      </c>
      <c r="I47" s="86" t="s">
        <v>259</v>
      </c>
      <c r="J47" s="86" t="s">
        <v>260</v>
      </c>
      <c r="K47" s="38" t="e">
        <f t="shared" ref="K47:K56" si="3">AVERAGE(H47:J47)</f>
        <v>#DIV/0!</v>
      </c>
      <c r="L47" s="31" t="e">
        <f t="shared" ref="L47:L56" si="4">IF(K47&lt;=G47,"SI","NO ")</f>
        <v>#DIV/0!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6.5" customHeight="1">
      <c r="A48" s="5"/>
      <c r="B48" s="152"/>
      <c r="C48" s="31" t="s">
        <v>136</v>
      </c>
      <c r="D48" s="31" t="s">
        <v>50</v>
      </c>
      <c r="E48" s="31" t="s">
        <v>45</v>
      </c>
      <c r="F48" s="31" t="s">
        <v>48</v>
      </c>
      <c r="G48" s="32">
        <v>500</v>
      </c>
      <c r="H48" s="86" t="s">
        <v>261</v>
      </c>
      <c r="I48" s="86" t="s">
        <v>262</v>
      </c>
      <c r="J48" s="86" t="s">
        <v>263</v>
      </c>
      <c r="K48" s="38" t="e">
        <f t="shared" si="3"/>
        <v>#DIV/0!</v>
      </c>
      <c r="L48" s="31" t="e">
        <f t="shared" si="4"/>
        <v>#DIV/0!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6.5" customHeight="1">
      <c r="A49" s="5"/>
      <c r="B49" s="152"/>
      <c r="C49" s="31" t="s">
        <v>137</v>
      </c>
      <c r="D49" s="31" t="s">
        <v>50</v>
      </c>
      <c r="E49" s="31" t="s">
        <v>48</v>
      </c>
      <c r="F49" s="31" t="s">
        <v>48</v>
      </c>
      <c r="G49" s="32">
        <v>500</v>
      </c>
      <c r="H49" s="86" t="s">
        <v>264</v>
      </c>
      <c r="I49" s="86" t="s">
        <v>265</v>
      </c>
      <c r="J49" s="86" t="s">
        <v>266</v>
      </c>
      <c r="K49" s="38" t="e">
        <f t="shared" si="3"/>
        <v>#DIV/0!</v>
      </c>
      <c r="L49" s="31" t="e">
        <f t="shared" si="4"/>
        <v>#DIV/0!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6.5" customHeight="1">
      <c r="A50" s="5"/>
      <c r="B50" s="152"/>
      <c r="C50" s="31" t="s">
        <v>137</v>
      </c>
      <c r="D50" s="31" t="s">
        <v>50</v>
      </c>
      <c r="E50" s="31" t="s">
        <v>48</v>
      </c>
      <c r="F50" s="31" t="s">
        <v>45</v>
      </c>
      <c r="G50" s="32">
        <v>500</v>
      </c>
      <c r="H50" s="86" t="s">
        <v>267</v>
      </c>
      <c r="I50" s="86" t="s">
        <v>268</v>
      </c>
      <c r="J50" s="86" t="s">
        <v>269</v>
      </c>
      <c r="K50" s="38" t="e">
        <f t="shared" si="3"/>
        <v>#DIV/0!</v>
      </c>
      <c r="L50" s="31" t="e">
        <f t="shared" si="4"/>
        <v>#DIV/0!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6.5" customHeight="1">
      <c r="A51" s="5"/>
      <c r="B51" s="152"/>
      <c r="C51" s="31" t="s">
        <v>137</v>
      </c>
      <c r="D51" s="31" t="s">
        <v>137</v>
      </c>
      <c r="E51" s="31" t="s">
        <v>46</v>
      </c>
      <c r="F51" s="31" t="s">
        <v>48</v>
      </c>
      <c r="G51" s="32">
        <v>500</v>
      </c>
      <c r="H51" s="86" t="s">
        <v>273</v>
      </c>
      <c r="I51" s="86" t="s">
        <v>274</v>
      </c>
      <c r="J51" s="86" t="s">
        <v>275</v>
      </c>
      <c r="K51" s="38" t="e">
        <f t="shared" si="3"/>
        <v>#DIV/0!</v>
      </c>
      <c r="L51" s="31" t="e">
        <f t="shared" si="4"/>
        <v>#DIV/0!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6.5" customHeight="1">
      <c r="A52" s="5"/>
      <c r="B52" s="152"/>
      <c r="C52" s="31" t="s">
        <v>137</v>
      </c>
      <c r="D52" s="31" t="s">
        <v>137</v>
      </c>
      <c r="E52" s="31" t="s">
        <v>46</v>
      </c>
      <c r="F52" s="31" t="s">
        <v>45</v>
      </c>
      <c r="G52" s="32">
        <v>500</v>
      </c>
      <c r="H52" s="86" t="s">
        <v>276</v>
      </c>
      <c r="I52" s="86" t="s">
        <v>277</v>
      </c>
      <c r="J52" s="86" t="s">
        <v>278</v>
      </c>
      <c r="K52" s="38" t="e">
        <f t="shared" si="3"/>
        <v>#DIV/0!</v>
      </c>
      <c r="L52" s="31" t="e">
        <f t="shared" si="4"/>
        <v>#DIV/0!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6.5" customHeight="1">
      <c r="A53" s="5"/>
      <c r="B53" s="152"/>
      <c r="C53" s="31" t="s">
        <v>137</v>
      </c>
      <c r="D53" s="31" t="s">
        <v>44</v>
      </c>
      <c r="E53" s="31" t="s">
        <v>48</v>
      </c>
      <c r="F53" s="31" t="s">
        <v>45</v>
      </c>
      <c r="G53" s="32">
        <v>500</v>
      </c>
      <c r="H53" s="86" t="s">
        <v>270</v>
      </c>
      <c r="I53" s="86" t="s">
        <v>271</v>
      </c>
      <c r="J53" s="86" t="s">
        <v>272</v>
      </c>
      <c r="K53" s="38" t="e">
        <f t="shared" si="3"/>
        <v>#DIV/0!</v>
      </c>
      <c r="L53" s="31" t="e">
        <f t="shared" si="4"/>
        <v>#DIV/0!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6.5" customHeight="1">
      <c r="A54" s="5"/>
      <c r="B54" s="152"/>
      <c r="C54" s="31" t="s">
        <v>137</v>
      </c>
      <c r="D54" s="31" t="s">
        <v>44</v>
      </c>
      <c r="E54" s="31" t="s">
        <v>45</v>
      </c>
      <c r="F54" s="31" t="s">
        <v>45</v>
      </c>
      <c r="G54" s="32">
        <v>500</v>
      </c>
      <c r="H54" s="86" t="s">
        <v>279</v>
      </c>
      <c r="I54" s="86" t="s">
        <v>280</v>
      </c>
      <c r="J54" s="86" t="s">
        <v>281</v>
      </c>
      <c r="K54" s="38" t="e">
        <f t="shared" si="3"/>
        <v>#DIV/0!</v>
      </c>
      <c r="L54" s="31" t="e">
        <f t="shared" si="4"/>
        <v>#DIV/0!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6.5" customHeight="1">
      <c r="A55" s="5"/>
      <c r="B55" s="152"/>
      <c r="C55" s="31" t="s">
        <v>137</v>
      </c>
      <c r="D55" s="31" t="s">
        <v>44</v>
      </c>
      <c r="E55" s="31" t="s">
        <v>45</v>
      </c>
      <c r="F55" s="31" t="s">
        <v>48</v>
      </c>
      <c r="G55" s="32">
        <v>500</v>
      </c>
      <c r="H55" s="86" t="s">
        <v>282</v>
      </c>
      <c r="I55" s="86" t="s">
        <v>283</v>
      </c>
      <c r="J55" s="86" t="s">
        <v>284</v>
      </c>
      <c r="K55" s="38" t="e">
        <f t="shared" si="3"/>
        <v>#DIV/0!</v>
      </c>
      <c r="L55" s="31" t="e">
        <f t="shared" si="4"/>
        <v>#DIV/0!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6.5" customHeight="1">
      <c r="A56" s="5"/>
      <c r="B56" s="153"/>
      <c r="C56" s="31" t="s">
        <v>137</v>
      </c>
      <c r="D56" s="31" t="s">
        <v>44</v>
      </c>
      <c r="E56" s="31" t="s">
        <v>48</v>
      </c>
      <c r="F56" s="31" t="s">
        <v>48</v>
      </c>
      <c r="G56" s="32">
        <v>500</v>
      </c>
      <c r="H56" s="93" t="s">
        <v>285</v>
      </c>
      <c r="I56" s="93" t="s">
        <v>286</v>
      </c>
      <c r="J56" s="93" t="s">
        <v>287</v>
      </c>
      <c r="K56" s="38" t="e">
        <f t="shared" si="3"/>
        <v>#DIV/0!</v>
      </c>
      <c r="L56" s="31" t="e">
        <f t="shared" si="4"/>
        <v>#DIV/0!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7.25" customHeight="1">
      <c r="A57" s="5"/>
      <c r="B57" s="94"/>
      <c r="C57" s="95"/>
      <c r="D57" s="95"/>
      <c r="E57" s="95"/>
      <c r="F57" s="95"/>
      <c r="G57" s="95"/>
      <c r="H57" s="96"/>
      <c r="I57" s="9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7.25" customHeight="1">
      <c r="A58" s="5"/>
      <c r="B58" s="94"/>
      <c r="C58" s="95"/>
      <c r="D58" s="95"/>
      <c r="E58" s="95"/>
      <c r="F58" s="95"/>
      <c r="G58" s="95"/>
      <c r="H58" s="96"/>
      <c r="I58" s="9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7.25" customHeight="1">
      <c r="A59" s="5"/>
      <c r="B59" s="145" t="s">
        <v>141</v>
      </c>
      <c r="C59" s="142"/>
      <c r="D59" s="95"/>
      <c r="E59" s="95"/>
      <c r="F59" s="95"/>
      <c r="G59" s="95"/>
      <c r="H59" s="96"/>
      <c r="I59" s="9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7.25" customHeight="1">
      <c r="A60" s="5"/>
      <c r="B60" s="84" t="str">
        <f>+CONCATENATE("Los valores de la tabla se expresan en ",K43)</f>
        <v>Los valores de la tabla se expresan en µA</v>
      </c>
      <c r="C60" s="84"/>
      <c r="D60" s="95"/>
      <c r="E60" s="95"/>
      <c r="F60" s="95"/>
      <c r="G60" s="95"/>
      <c r="H60" s="96"/>
      <c r="I60" s="9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7.25" customHeight="1">
      <c r="A61" s="5"/>
      <c r="B61" s="94"/>
      <c r="C61" s="95"/>
      <c r="D61" s="95"/>
      <c r="E61" s="95"/>
      <c r="F61" s="95"/>
      <c r="G61" s="95"/>
      <c r="H61" s="96"/>
      <c r="I61" s="9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50.25" customHeight="1">
      <c r="A62" s="5"/>
      <c r="B62" s="151" t="s">
        <v>53</v>
      </c>
      <c r="C62" s="30" t="s">
        <v>130</v>
      </c>
      <c r="D62" s="28" t="s">
        <v>131</v>
      </c>
      <c r="E62" s="29" t="s">
        <v>39</v>
      </c>
      <c r="F62" s="29" t="s">
        <v>37</v>
      </c>
      <c r="G62" s="30" t="s">
        <v>132</v>
      </c>
      <c r="H62" s="85" t="s">
        <v>142</v>
      </c>
      <c r="I62" s="85" t="s">
        <v>143</v>
      </c>
      <c r="J62" s="85" t="s">
        <v>143</v>
      </c>
      <c r="K62" s="30" t="s">
        <v>124</v>
      </c>
      <c r="L62" s="29" t="s">
        <v>36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6.5" customHeight="1">
      <c r="A63" s="5"/>
      <c r="B63" s="152"/>
      <c r="C63" s="32" t="s">
        <v>136</v>
      </c>
      <c r="D63" s="31" t="s">
        <v>44</v>
      </c>
      <c r="E63" s="31" t="s">
        <v>45</v>
      </c>
      <c r="F63" s="31" t="s">
        <v>46</v>
      </c>
      <c r="G63" s="34">
        <v>500</v>
      </c>
      <c r="H63" s="91" t="s">
        <v>288</v>
      </c>
      <c r="I63" s="91" t="s">
        <v>289</v>
      </c>
      <c r="J63" s="91" t="s">
        <v>290</v>
      </c>
      <c r="K63" s="33" t="e">
        <f t="shared" ref="K63:K67" si="5">AVERAGE(H63:J63)</f>
        <v>#DIV/0!</v>
      </c>
      <c r="L63" s="31" t="e">
        <f t="shared" ref="L63:L67" si="6">IF(K63&lt;=G63,"SI","NO ")</f>
        <v>#DIV/0!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6.5" customHeight="1">
      <c r="A64" s="5"/>
      <c r="B64" s="152"/>
      <c r="C64" s="31" t="s">
        <v>137</v>
      </c>
      <c r="D64" s="31" t="s">
        <v>44</v>
      </c>
      <c r="E64" s="31" t="s">
        <v>48</v>
      </c>
      <c r="F64" s="31" t="s">
        <v>46</v>
      </c>
      <c r="G64" s="36">
        <v>1000</v>
      </c>
      <c r="H64" s="86" t="s">
        <v>291</v>
      </c>
      <c r="I64" s="86" t="s">
        <v>292</v>
      </c>
      <c r="J64" s="86" t="s">
        <v>293</v>
      </c>
      <c r="K64" s="33" t="e">
        <f t="shared" si="5"/>
        <v>#DIV/0!</v>
      </c>
      <c r="L64" s="31" t="e">
        <f t="shared" si="6"/>
        <v>#DIV/0!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6.5" customHeight="1">
      <c r="A65" s="5"/>
      <c r="B65" s="152"/>
      <c r="C65" s="31" t="s">
        <v>137</v>
      </c>
      <c r="D65" s="31" t="s">
        <v>137</v>
      </c>
      <c r="E65" s="31" t="s">
        <v>46</v>
      </c>
      <c r="F65" s="31" t="s">
        <v>46</v>
      </c>
      <c r="G65" s="36">
        <v>500</v>
      </c>
      <c r="H65" s="86" t="s">
        <v>294</v>
      </c>
      <c r="I65" s="86" t="s">
        <v>295</v>
      </c>
      <c r="J65" s="86" t="s">
        <v>296</v>
      </c>
      <c r="K65" s="92" t="e">
        <f t="shared" si="5"/>
        <v>#DIV/0!</v>
      </c>
      <c r="L65" s="31" t="e">
        <f t="shared" si="6"/>
        <v>#DIV/0!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6.5" customHeight="1">
      <c r="A66" s="5"/>
      <c r="B66" s="152"/>
      <c r="C66" s="37" t="s">
        <v>137</v>
      </c>
      <c r="D66" s="31" t="s">
        <v>50</v>
      </c>
      <c r="E66" s="31" t="s">
        <v>48</v>
      </c>
      <c r="F66" s="31" t="s">
        <v>46</v>
      </c>
      <c r="G66" s="36">
        <v>1000</v>
      </c>
      <c r="H66" s="93" t="s">
        <v>297</v>
      </c>
      <c r="I66" s="93" t="s">
        <v>298</v>
      </c>
      <c r="J66" s="93" t="s">
        <v>299</v>
      </c>
      <c r="K66" s="92" t="e">
        <f t="shared" si="5"/>
        <v>#DIV/0!</v>
      </c>
      <c r="L66" s="31" t="e">
        <f t="shared" si="6"/>
        <v>#DIV/0!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6.5" customHeight="1">
      <c r="A67" s="5"/>
      <c r="B67" s="153"/>
      <c r="C67" s="31" t="s">
        <v>136</v>
      </c>
      <c r="D67" s="31" t="s">
        <v>50</v>
      </c>
      <c r="E67" s="31" t="s">
        <v>45</v>
      </c>
      <c r="F67" s="31" t="s">
        <v>46</v>
      </c>
      <c r="G67" s="31">
        <v>500</v>
      </c>
      <c r="H67" s="93" t="s">
        <v>300</v>
      </c>
      <c r="I67" s="93" t="s">
        <v>301</v>
      </c>
      <c r="J67" s="93" t="s">
        <v>302</v>
      </c>
      <c r="K67" s="92" t="e">
        <f t="shared" si="5"/>
        <v>#DIV/0!</v>
      </c>
      <c r="L67" s="31" t="e">
        <f t="shared" si="6"/>
        <v>#DIV/0!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7.25" customHeight="1">
      <c r="A68" s="5"/>
      <c r="B68" s="94"/>
      <c r="C68" s="95"/>
      <c r="D68" s="95"/>
      <c r="E68" s="95"/>
      <c r="F68" s="95"/>
      <c r="G68" s="95"/>
      <c r="H68" s="96"/>
      <c r="I68" s="9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7.25" customHeight="1">
      <c r="A69" s="10" t="s">
        <v>144</v>
      </c>
      <c r="B69" s="94"/>
      <c r="C69" s="95"/>
      <c r="D69" s="95"/>
      <c r="E69" s="95"/>
      <c r="F69" s="95"/>
      <c r="G69" s="95"/>
      <c r="H69" s="96"/>
      <c r="I69" s="9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7.25" customHeight="1">
      <c r="A70" s="97" t="s">
        <v>145</v>
      </c>
      <c r="B70" s="97"/>
      <c r="C70" s="97"/>
      <c r="D70" s="97"/>
      <c r="E70" s="97"/>
      <c r="F70" s="97"/>
      <c r="G70" s="97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7.25" customHeight="1">
      <c r="A71" s="154"/>
      <c r="B71" s="155"/>
      <c r="C71" s="155"/>
      <c r="D71" s="155"/>
      <c r="E71" s="155"/>
      <c r="F71" s="155"/>
      <c r="G71" s="156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7.25" customHeight="1">
      <c r="A72" s="5"/>
      <c r="B72" s="27"/>
      <c r="C72" s="27"/>
      <c r="D72" s="27"/>
      <c r="E72" s="27"/>
      <c r="F72" s="27"/>
      <c r="G72" s="27"/>
      <c r="H72" s="27"/>
      <c r="I72" s="27"/>
      <c r="J72" s="5"/>
      <c r="K72" s="98" t="s">
        <v>146</v>
      </c>
      <c r="L72" s="98"/>
      <c r="M72" s="98"/>
      <c r="N72" s="98" t="s">
        <v>147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7.25" customHeight="1">
      <c r="A73" s="17"/>
      <c r="B73" s="99"/>
      <c r="C73" s="5"/>
      <c r="D73" s="99"/>
      <c r="E73" s="99"/>
      <c r="F73" s="99"/>
      <c r="G73" s="99"/>
      <c r="H73" s="99"/>
      <c r="I73" s="99"/>
      <c r="J73" s="100"/>
      <c r="K73" s="1" t="s">
        <v>148</v>
      </c>
      <c r="L73" s="98"/>
      <c r="M73" s="98"/>
      <c r="N73" s="98" t="s">
        <v>149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7.25" customHeight="1">
      <c r="A74" s="17" t="s">
        <v>150</v>
      </c>
      <c r="B74" s="101"/>
      <c r="C74" s="157" t="s">
        <v>151</v>
      </c>
      <c r="D74" s="141"/>
      <c r="E74" s="141"/>
      <c r="F74" s="142"/>
      <c r="G74" s="102"/>
      <c r="H74" s="102"/>
      <c r="I74" s="102"/>
      <c r="J74" s="100"/>
      <c r="K74" s="1" t="s">
        <v>152</v>
      </c>
      <c r="L74" s="98"/>
      <c r="M74" s="98"/>
      <c r="N74" s="98" t="s">
        <v>153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7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1" t="s">
        <v>154</v>
      </c>
      <c r="L75" s="98"/>
      <c r="M75" s="98"/>
      <c r="N75" s="98"/>
      <c r="O75" s="98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7.25" customHeight="1">
      <c r="A76" s="5" t="s">
        <v>155</v>
      </c>
      <c r="B76" s="5"/>
      <c r="C76" s="5"/>
      <c r="D76" s="5"/>
      <c r="E76" s="5"/>
      <c r="F76" s="5"/>
      <c r="G76" s="5" t="s">
        <v>156</v>
      </c>
      <c r="H76" s="5"/>
      <c r="I76" s="5"/>
      <c r="J76" s="5"/>
      <c r="K76" s="1"/>
      <c r="L76" s="98"/>
      <c r="M76" s="98"/>
      <c r="N76" s="98"/>
      <c r="O76" s="98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7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1"/>
      <c r="L77" s="98"/>
      <c r="M77" s="98"/>
      <c r="N77" s="98"/>
      <c r="O77" s="98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7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103"/>
      <c r="L78" s="103"/>
      <c r="M78" s="98"/>
      <c r="N78" s="98"/>
      <c r="O78" s="98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7.25" customHeight="1">
      <c r="A79" s="104"/>
      <c r="B79" s="5"/>
      <c r="C79" s="5"/>
      <c r="D79" s="5"/>
      <c r="E79" s="5"/>
      <c r="F79" s="5"/>
      <c r="G79" s="104"/>
      <c r="H79" s="104"/>
      <c r="I79" s="104"/>
      <c r="J79" s="5"/>
      <c r="K79" s="103"/>
      <c r="L79" s="103"/>
      <c r="M79" s="98"/>
      <c r="N79" s="98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7.25" customHeight="1">
      <c r="A80" s="146" t="s">
        <v>148</v>
      </c>
      <c r="B80" s="147"/>
      <c r="C80" s="5"/>
      <c r="D80" s="105"/>
      <c r="E80" s="106"/>
      <c r="F80" s="106"/>
      <c r="G80" s="148" t="s">
        <v>157</v>
      </c>
      <c r="H80" s="135"/>
      <c r="I80" s="147"/>
      <c r="J80" s="106"/>
      <c r="K80" s="103"/>
      <c r="L80" s="103"/>
      <c r="M80" s="98"/>
      <c r="N80" s="98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7.25" customHeight="1">
      <c r="A81" s="149" t="s">
        <v>149</v>
      </c>
      <c r="B81" s="142"/>
      <c r="C81" s="105"/>
      <c r="D81" s="83"/>
      <c r="E81" s="107"/>
      <c r="F81" s="107"/>
      <c r="G81" s="150" t="s">
        <v>158</v>
      </c>
      <c r="H81" s="141"/>
      <c r="I81" s="142"/>
      <c r="J81" s="106"/>
      <c r="K81" s="98"/>
      <c r="L81" s="98"/>
      <c r="M81" s="98"/>
      <c r="N81" s="98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7.25" customHeight="1">
      <c r="A82" s="5"/>
      <c r="B82" s="5"/>
      <c r="C82" s="5"/>
      <c r="D82" s="5"/>
      <c r="E82" s="5"/>
      <c r="F82" s="5"/>
      <c r="G82" s="5" t="s">
        <v>159</v>
      </c>
      <c r="H82" s="5"/>
      <c r="I82" s="5"/>
      <c r="J82" s="5"/>
      <c r="K82" s="98"/>
      <c r="L82" s="98"/>
      <c r="M82" s="98"/>
      <c r="N82" s="98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7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7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1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7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1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7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1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7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7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1"/>
      <c r="M88" s="1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7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1"/>
      <c r="M89" s="1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7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1"/>
      <c r="M90" s="1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7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1"/>
      <c r="M91" s="1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7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1"/>
      <c r="M92" s="1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7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1"/>
      <c r="M93" s="1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7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1"/>
      <c r="M94" s="1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7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1"/>
      <c r="M95" s="1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7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7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7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7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7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7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7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7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7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7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7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7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7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7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7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7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7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7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7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7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7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7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7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7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7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7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7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7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7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7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7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7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7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7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7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7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7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7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7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7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7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7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7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7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7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7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7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7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7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7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7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7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7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7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7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7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7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7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7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7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7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7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7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7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7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7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7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7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7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7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7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7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7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7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7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7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7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7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7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7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7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7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7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7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7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7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7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7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7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7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7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7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7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7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7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7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7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7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7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7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7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7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7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7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7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7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7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7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7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7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7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7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7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7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7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7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7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7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7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7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7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7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7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7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7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7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7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7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7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7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7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7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7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7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7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7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7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7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7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7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7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7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7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7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7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7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7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7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7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7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7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7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7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7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7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7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7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7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7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7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7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7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7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7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7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7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7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7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7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7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7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7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7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7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7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7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7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7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7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7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7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7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7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7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7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7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7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7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7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7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7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7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7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7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7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7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7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7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7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7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7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7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7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7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7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7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7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7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7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7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7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7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7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7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7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7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7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7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7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7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7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7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7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7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7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7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7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7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7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7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7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7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7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7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7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7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7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7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7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7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7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7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7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7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7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7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7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7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7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7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7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7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7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7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7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7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7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7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7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7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7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7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7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7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7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7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7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7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7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7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7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7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7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7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7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7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7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7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7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7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7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7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7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7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7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7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7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7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7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7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7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7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7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7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7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7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7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7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7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7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7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7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7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7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7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7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7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7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7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7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7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7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7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7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7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7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7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7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7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7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7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7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7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7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7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7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7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7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7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7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7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7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7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7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7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7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7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7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7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7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7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7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7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7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7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7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7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7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7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7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7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7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7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7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7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7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7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7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7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7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7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7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7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7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7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7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7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7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7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7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7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7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7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7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7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7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7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7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7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7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7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7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7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7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7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7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7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7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7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7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7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7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7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7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7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7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7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7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7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7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7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7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7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7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7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7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7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7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7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7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7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7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7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7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7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7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7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7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7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7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7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7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7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7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7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7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7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7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7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7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7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7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7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7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7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7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7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7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7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7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7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7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7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7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7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7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7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7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7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7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7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7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7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7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7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7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7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7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7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7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7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7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7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7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7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7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7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7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7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7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7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7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7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7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7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7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7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7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7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7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7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7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7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7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7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7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7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7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7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7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7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7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7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7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7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7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7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7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7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7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7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7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7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7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7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7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7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7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7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7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7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7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7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7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7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7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7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7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7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7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7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7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7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7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7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7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7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7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7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7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7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7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7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7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7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7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7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7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7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7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7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7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7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7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7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7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7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7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7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7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7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7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7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7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7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7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7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7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7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7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7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7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7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7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7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7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7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7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7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7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7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7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7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7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7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7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7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7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7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7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7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7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7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7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7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7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7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7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7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7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7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7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7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7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7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7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7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7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7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7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7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7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7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7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7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7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7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7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7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7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7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7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7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7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7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7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7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7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7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7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7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7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7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7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7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7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7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7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7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7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7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7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7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7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7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7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7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7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7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7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7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7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7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7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7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7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7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7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7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7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7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7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7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7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7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7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7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7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7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7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7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7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7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7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7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7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7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7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7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7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7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7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7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7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7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7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7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7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7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7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7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7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7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7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7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7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7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7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7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7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7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7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7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7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7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7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7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7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7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7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7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7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7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7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7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7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7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7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7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7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7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7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7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7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7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7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7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7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7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7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7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7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7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7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7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7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7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7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7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7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7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7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7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7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7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7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7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7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7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7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7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7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7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7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7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7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7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7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7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7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7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7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7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7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7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7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7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7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7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7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7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7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7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7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7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7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7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7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7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7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7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7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7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7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7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7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7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7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7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7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7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7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7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7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7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7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7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7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7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7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7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7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7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7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7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7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7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7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7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7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7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7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7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7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7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7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7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7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7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7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7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7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7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7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7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7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7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7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7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7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7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7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7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7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7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7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7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7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7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7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7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7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7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7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7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7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7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7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7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7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7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7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7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7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7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7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7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7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7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7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7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7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7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7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7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7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7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7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7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7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7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7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7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7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7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7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7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7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7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7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7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7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7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7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7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7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7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7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7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7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7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7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7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7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7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7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7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7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7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7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7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7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7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7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7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7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7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7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7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7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7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7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7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7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7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8">
    <mergeCell ref="B31:I31"/>
    <mergeCell ref="B33:C33"/>
    <mergeCell ref="A80:B80"/>
    <mergeCell ref="G80:I80"/>
    <mergeCell ref="A81:B81"/>
    <mergeCell ref="G81:I81"/>
    <mergeCell ref="B36:B41"/>
    <mergeCell ref="B43:C43"/>
    <mergeCell ref="B46:B56"/>
    <mergeCell ref="B59:C59"/>
    <mergeCell ref="B62:B67"/>
    <mergeCell ref="A71:G71"/>
    <mergeCell ref="C74:F74"/>
    <mergeCell ref="A1:B2"/>
    <mergeCell ref="C1:M1"/>
    <mergeCell ref="C2:M2"/>
    <mergeCell ref="B23:H23"/>
    <mergeCell ref="B24:J24"/>
  </mergeCells>
  <conditionalFormatting sqref="F21">
    <cfRule type="containsText" dxfId="1" priority="1" operator="containsText" text="SI">
      <formula>NOT(ISERROR(SEARCH(("SI"),(F21))))</formula>
    </cfRule>
    <cfRule type="containsText" dxfId="0" priority="2" operator="containsText" text="NO">
      <formula>NOT(ISERROR(SEARCH(("NO"),(F21))))</formula>
    </cfRule>
  </conditionalFormatting>
  <dataValidations count="2">
    <dataValidation type="list" allowBlank="1" showErrorMessage="1" sqref="A80" xr:uid="{00000000-0002-0000-0100-000000000000}">
      <formula1>$K$73:$K$75</formula1>
    </dataValidation>
    <dataValidation type="list" allowBlank="1" showErrorMessage="1" sqref="A81" xr:uid="{00000000-0002-0000-0100-000002000000}">
      <formula1>$N$72:$N$74</formula1>
    </dataValidation>
  </dataValidations>
  <pageMargins left="0.78740157480314965" right="0.78740157480314965" top="0.78740157480314965" bottom="0.78740157480314965" header="0" footer="0"/>
  <pageSetup scale="56" orientation="portrait"/>
  <headerFooter>
    <oddFooter>&amp;CCalle 9B sur # 25-158 PBX: (57 4) 444 35 11 www.mebimetrologia.com  &amp;R&amp;P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1000000}">
          <x14:formula1>
            <xm:f>Patrones!$C$4:$C$7</xm:f>
          </x14:formula1>
          <xm:sqref>C74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44140625" defaultRowHeight="15" customHeight="1"/>
  <cols>
    <col min="1" max="2" width="10.88671875" customWidth="1"/>
    <col min="3" max="3" width="62.109375" customWidth="1"/>
    <col min="4" max="4" width="17.33203125" customWidth="1"/>
    <col min="5" max="5" width="23.33203125" customWidth="1"/>
    <col min="6" max="6" width="21.109375" customWidth="1"/>
    <col min="7" max="26" width="10.88671875" customWidth="1"/>
  </cols>
  <sheetData>
    <row r="1" spans="1:26" ht="14.4">
      <c r="A1" s="108"/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 spans="1:26" ht="14.4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spans="1:26" ht="25.2">
      <c r="A3" s="108"/>
      <c r="B3" s="109" t="s">
        <v>160</v>
      </c>
      <c r="C3" s="110" t="s">
        <v>161</v>
      </c>
      <c r="D3" s="110" t="s">
        <v>162</v>
      </c>
      <c r="E3" s="111" t="s">
        <v>68</v>
      </c>
      <c r="F3" s="110" t="s">
        <v>163</v>
      </c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spans="1:26" ht="14.4">
      <c r="A4" s="108"/>
      <c r="B4" s="112" t="s">
        <v>164</v>
      </c>
      <c r="C4" s="112" t="s">
        <v>165</v>
      </c>
      <c r="D4" s="45" t="s">
        <v>166</v>
      </c>
      <c r="E4" s="113">
        <v>44306</v>
      </c>
      <c r="F4" s="45" t="s">
        <v>167</v>
      </c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spans="1:26" ht="14.4">
      <c r="A5" s="108"/>
      <c r="B5" s="112" t="s">
        <v>168</v>
      </c>
      <c r="C5" s="112" t="s">
        <v>151</v>
      </c>
      <c r="D5" s="45" t="s">
        <v>169</v>
      </c>
      <c r="E5" s="113">
        <v>44411</v>
      </c>
      <c r="F5" s="45" t="s">
        <v>167</v>
      </c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spans="1:26" ht="14.4">
      <c r="A6" s="108"/>
      <c r="B6" s="112" t="s">
        <v>170</v>
      </c>
      <c r="C6" s="112" t="s">
        <v>171</v>
      </c>
      <c r="D6" s="45" t="s">
        <v>172</v>
      </c>
      <c r="E6" s="113">
        <v>44306</v>
      </c>
      <c r="F6" s="45" t="s">
        <v>167</v>
      </c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 spans="1:26" ht="14.4">
      <c r="A7" s="108"/>
      <c r="B7" s="112" t="s">
        <v>173</v>
      </c>
      <c r="C7" s="112" t="s">
        <v>174</v>
      </c>
      <c r="D7" s="45" t="s">
        <v>175</v>
      </c>
      <c r="E7" s="113">
        <v>44411</v>
      </c>
      <c r="F7" s="45" t="s">
        <v>167</v>
      </c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spans="1:26" ht="14.4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spans="1:26" ht="14.4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spans="1:26" ht="14.4">
      <c r="A10" s="108"/>
      <c r="B10" s="108"/>
      <c r="C10" s="114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spans="1:26" ht="14.4">
      <c r="A11" s="108"/>
      <c r="B11" s="108"/>
      <c r="C11" s="108"/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 spans="1:26" ht="14.4">
      <c r="A12" s="108"/>
      <c r="B12" s="108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spans="1:26" ht="14.4">
      <c r="A13" s="108"/>
      <c r="B13" s="108"/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spans="1:26" ht="14.4">
      <c r="A14" s="108"/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spans="1:26" ht="14.4">
      <c r="A15" s="108"/>
      <c r="B15" s="108"/>
      <c r="C15" s="108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spans="1:26" ht="14.4">
      <c r="A16" s="108"/>
      <c r="B16" s="108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spans="1:26" ht="14.4">
      <c r="A17" s="108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 spans="1:26" ht="14.4">
      <c r="A18" s="108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 spans="1:26" ht="14.4">
      <c r="A19" s="108"/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 spans="1:26" ht="14.4">
      <c r="A20" s="108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 spans="1:26" ht="15.75" customHeight="1">
      <c r="A21" s="108"/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 spans="1:26" ht="15.75" customHeight="1">
      <c r="A22" s="108"/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 spans="1:26" ht="15.75" customHeight="1">
      <c r="A23" s="108"/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 spans="1:26" ht="15.75" customHeight="1">
      <c r="A24" s="108"/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 spans="1:26" ht="15.75" customHeight="1">
      <c r="A25" s="108"/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 spans="1:26" ht="15.75" customHeight="1">
      <c r="A26" s="108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 spans="1:26" ht="15.75" customHeight="1">
      <c r="A27" s="108"/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spans="1:26" ht="15.75" customHeight="1">
      <c r="A28" s="108"/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spans="1:26" ht="15.75" customHeight="1">
      <c r="A29" s="108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 spans="1:26" ht="15.75" customHeight="1">
      <c r="A30" s="108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 spans="1:26" ht="15.75" customHeight="1">
      <c r="A31" s="108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 spans="1:26" ht="15.75" customHeight="1">
      <c r="A32" s="108"/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 spans="1:26" ht="15.75" customHeight="1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 spans="1:26" ht="15.75" customHeight="1">
      <c r="A34" s="108"/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 spans="1:26" ht="15.75" customHeight="1">
      <c r="A35" s="108"/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 spans="1:26" ht="15.75" customHeight="1">
      <c r="A36" s="108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 spans="1:26" ht="15.75" customHeight="1">
      <c r="A37" s="108"/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 spans="1:26" ht="15.75" customHeight="1">
      <c r="A38" s="108"/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 spans="1:26" ht="15.75" customHeight="1">
      <c r="A39" s="108"/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 spans="1:26" ht="15.75" customHeight="1">
      <c r="A40" s="108"/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 spans="1:26" ht="15.75" customHeight="1">
      <c r="A41" s="108"/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 spans="1:26" ht="15.75" customHeight="1">
      <c r="A42" s="108"/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 spans="1:26" ht="15.75" customHeight="1">
      <c r="A43" s="108"/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 spans="1:26" ht="15.75" customHeight="1">
      <c r="A44" s="108"/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 spans="1:26" ht="15.75" customHeight="1">
      <c r="A45" s="108"/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 spans="1:26" ht="15.75" customHeight="1">
      <c r="A46" s="108"/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 spans="1:26" ht="15.75" customHeight="1">
      <c r="A47" s="108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 spans="1:26" ht="15.75" customHeight="1">
      <c r="A48" s="108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 spans="1:26" ht="15.75" customHeight="1">
      <c r="A49" s="108"/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spans="1:26" ht="15.75" customHeight="1">
      <c r="A50" s="108"/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 spans="1:26" ht="15.75" customHeight="1">
      <c r="A51" s="108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 spans="1:26" ht="15.75" customHeight="1">
      <c r="A52" s="108"/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 spans="1:26" ht="15.75" customHeight="1">
      <c r="A53" s="108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 spans="1:26" ht="15.75" customHeight="1">
      <c r="A54" s="108"/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 spans="1:26" ht="15.75" customHeight="1">
      <c r="A55" s="108"/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 spans="1:26" ht="15.75" customHeight="1">
      <c r="A56" s="108"/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spans="1:26" ht="15.75" customHeight="1">
      <c r="A57" s="108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 spans="1:26" ht="15.75" customHeight="1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 spans="1:26" ht="15.75" customHeight="1">
      <c r="A59" s="108"/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 spans="1:26" ht="15.75" customHeight="1">
      <c r="A60" s="108"/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spans="1:26" ht="15.75" customHeight="1">
      <c r="A61" s="108"/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 spans="1:26" ht="15.75" customHeight="1">
      <c r="A62" s="108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spans="1:26" ht="15.75" customHeight="1">
      <c r="A63" s="108"/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spans="1:26" ht="15.75" customHeight="1">
      <c r="A64" s="108"/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spans="1:26" ht="15.75" customHeight="1">
      <c r="A65" s="108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spans="1:26" ht="15.75" customHeight="1">
      <c r="A66" s="108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spans="1:26" ht="15.75" customHeight="1">
      <c r="A67" s="108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spans="1:26" ht="15.75" customHeight="1">
      <c r="A68" s="108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spans="1:26" ht="15.75" customHeight="1">
      <c r="A69" s="108"/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spans="1:26" ht="15.75" customHeight="1">
      <c r="A70" s="108"/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spans="1:26" ht="15.75" customHeight="1">
      <c r="A71" s="108"/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spans="1:26" ht="15.75" customHeight="1">
      <c r="A72" s="108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spans="1:26" ht="15.75" customHeight="1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spans="1:26" ht="15.75" customHeight="1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spans="1:26" ht="15.75" customHeight="1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spans="1:26" ht="15.75" customHeight="1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spans="1:26" ht="15.75" customHeight="1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spans="1:26" ht="15.75" customHeight="1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spans="1:26" ht="15.75" customHeight="1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spans="1:26" ht="15.75" customHeight="1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spans="1:26" ht="15.75" customHeight="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spans="1:26" ht="15.75" customHeight="1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spans="1:26" ht="15.75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spans="1:26" ht="15.75" customHeight="1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spans="1:26" ht="15.75" customHeight="1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spans="1:26" ht="15.75" customHeight="1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spans="1:26" ht="15.75" customHeight="1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spans="1:26" ht="15.75" customHeight="1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spans="1:26" ht="15.75" customHeight="1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spans="1:26" ht="15.75" customHeight="1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spans="1:26" ht="15.75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spans="1:26" ht="15.75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spans="1:26" ht="15.75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spans="1:26" ht="15.75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spans="1:26" ht="15.75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spans="1:26" ht="15.75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spans="1:26" ht="15.75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spans="1:26" ht="15.75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spans="1:26" ht="15.75" customHeight="1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spans="1:26" ht="15.75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spans="1:26" ht="15.75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spans="1:26" ht="15.75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spans="1:26" ht="15.75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spans="1:26" ht="15.75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spans="1:26" ht="15.75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spans="1:26" ht="15.75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spans="1:26" ht="15.75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spans="1:26" ht="15.75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spans="1:26" ht="15.75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spans="1:26" ht="15.75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spans="1:26" ht="15.75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spans="1:26" ht="15.75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spans="1:26" ht="15.75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spans="1:26" ht="15.75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spans="1:26" ht="15.75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spans="1:26" ht="15.75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spans="1:26" ht="15.75" customHeight="1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spans="1:26" ht="15.75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spans="1:26" ht="15.75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spans="1:26" ht="15.75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spans="1:26" ht="15.75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spans="1:26" ht="15.75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spans="1:26" ht="15.75" customHeight="1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spans="1:26" ht="15.75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spans="1:26" ht="15.75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spans="1:26" ht="15.75" customHeight="1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spans="1:26" ht="15.75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spans="1:26" ht="15.75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spans="1:26" ht="15.75" customHeight="1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spans="1:26" ht="15.75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spans="1:26" ht="15.75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spans="1:26" ht="15.75" customHeight="1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spans="1:26" ht="15.75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spans="1:26" ht="15.75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spans="1:26" ht="15.75" customHeight="1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spans="1:26" ht="15.75" customHeight="1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spans="1:26" ht="15.75" customHeight="1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spans="1:26" ht="15.75" customHeight="1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spans="1:26" ht="15.75" customHeight="1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spans="1:26" ht="15.75" customHeight="1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spans="1:26" ht="15.75" customHeight="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spans="1:26" ht="15.75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spans="1:26" ht="15.75" customHeight="1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spans="1:26" ht="15.75" customHeight="1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spans="1:26" ht="15.75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spans="1:26" ht="15.75" customHeight="1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spans="1:26" ht="15.75" customHeight="1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spans="1:26" ht="15.75" customHeight="1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spans="1:26" ht="15.75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spans="1:26" ht="15.75" customHeight="1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spans="1:26" ht="15.75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spans="1:26" ht="15.75" customHeight="1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spans="1:26" ht="15.75" customHeight="1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spans="1:26" ht="15.75" customHeight="1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spans="1:26" ht="15.75" customHeight="1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spans="1:26" ht="15.75" customHeight="1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spans="1:26" ht="15.75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spans="1:26" ht="15.75" customHeight="1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spans="1:26" ht="15.75" customHeight="1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spans="1:26" ht="15.75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spans="1:26" ht="15.75" customHeight="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spans="1:26" ht="15.75" customHeight="1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spans="1:26" ht="15.75" customHeight="1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spans="1:26" ht="15.75" customHeight="1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spans="1:26" ht="15.75" customHeight="1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spans="1:26" ht="15.75" customHeight="1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spans="1:26" ht="15.75" customHeight="1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spans="1:26" ht="15.75" customHeight="1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spans="1:26" ht="15.75" customHeight="1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spans="1:26" ht="15.75" customHeight="1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spans="1:26" ht="15.75" customHeight="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spans="1:26" ht="15.75" customHeight="1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spans="1:26" ht="15.75" customHeight="1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spans="1:26" ht="15.75" customHeight="1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spans="1:26" ht="15.75" customHeight="1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spans="1:26" ht="15.75" customHeight="1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spans="1:26" ht="15.75" customHeight="1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spans="1:26" ht="15.75" customHeight="1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spans="1:26" ht="15.75" customHeight="1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spans="1:26" ht="15.75" customHeight="1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spans="1:26" ht="15.75" customHeight="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spans="1:26" ht="15.75" customHeight="1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spans="1:26" ht="15.75" customHeight="1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spans="1:26" ht="15.75" customHeight="1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spans="1:26" ht="15.75" customHeight="1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spans="1:26" ht="15.75" customHeight="1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spans="1:26" ht="15.75" customHeight="1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spans="1:26" ht="15.75" customHeight="1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spans="1:26" ht="15.75" customHeight="1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spans="1:26" ht="15.75" customHeight="1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spans="1:26" ht="15.75" customHeight="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spans="1:26" ht="15.75" customHeight="1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spans="1:26" ht="15.75" customHeight="1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spans="1:26" ht="15.75" customHeight="1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spans="1:26" ht="15.75" customHeight="1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spans="1:26" ht="15.75" customHeight="1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spans="1:26" ht="15.75" customHeight="1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spans="1:26" ht="15.75" customHeight="1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spans="1:26" ht="15.75" customHeight="1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spans="1:26" ht="15.75" customHeight="1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spans="1:26" ht="15.75" customHeight="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spans="1:26" ht="15.75" customHeight="1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spans="1:26" ht="15.75" customHeight="1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spans="1:26" ht="15.75" customHeight="1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spans="1:26" ht="15.75" customHeight="1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spans="1:26" ht="15.75" customHeight="1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spans="1:26" ht="15.75" customHeight="1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spans="1:26" ht="15.75" customHeight="1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spans="1:26" ht="15.75" customHeight="1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spans="1:26" ht="15.75" customHeight="1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spans="1:26" ht="15.75" customHeight="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spans="1:26" ht="15.75" customHeight="1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spans="1:26" ht="15.75" customHeight="1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spans="1:26" ht="15.75" customHeight="1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spans="1:26" ht="15.75" customHeight="1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spans="1:26" ht="15.75" customHeight="1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spans="1:26" ht="15.75" customHeight="1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spans="1:26" ht="15.75" customHeight="1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spans="1:26" ht="15.75" customHeight="1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spans="1:26" ht="15.75" customHeight="1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spans="1:26" ht="15.75" customHeight="1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spans="1:26" ht="15.75" customHeight="1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spans="1:26" ht="15.75" customHeight="1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spans="1:26" ht="15.75" customHeight="1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spans="1:26" ht="15.75" customHeight="1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spans="1:26" ht="15.75" customHeight="1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spans="1:26" ht="15.75" customHeight="1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spans="1:26" ht="15.75" customHeight="1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spans="1:26" ht="15.75" customHeight="1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spans="1:26" ht="15.75" customHeight="1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spans="1:26" ht="15.75" customHeight="1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spans="1:26" ht="15.75" customHeight="1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spans="1:26" ht="15.75" customHeight="1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spans="1:26" ht="15.75" customHeight="1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spans="1:26" ht="15.75" customHeight="1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 spans="1:26" ht="15.75" customHeight="1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spans="1:26" ht="15.75" customHeight="1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 spans="1:26" ht="15.75" customHeight="1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spans="1:26" ht="15.75" customHeight="1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 spans="1:26" ht="15.75" customHeight="1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 spans="1:26" ht="15.75" customHeight="1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 spans="1:26" ht="15.75" customHeight="1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 spans="1:26" ht="15.75" customHeight="1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 spans="1:26" ht="15.75" customHeight="1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 spans="1:26" ht="15.75" customHeight="1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 spans="1:26" ht="15.75" customHeight="1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 spans="1:26" ht="15.75" customHeight="1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 spans="1:26" ht="15.75" customHeight="1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 spans="1:26" ht="15.75" customHeight="1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 spans="1:26" ht="15.75" customHeight="1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 spans="1:26" ht="15.75" customHeight="1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 spans="1:26" ht="15.75" customHeight="1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 spans="1:26" ht="15.75" customHeight="1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 spans="1:26" ht="15.75" customHeight="1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 spans="1:26" ht="15.75" customHeight="1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 spans="1:26" ht="15.75" customHeight="1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 spans="1:26" ht="15.75" customHeight="1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 spans="1:26" ht="15.75" customHeight="1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 spans="1:26" ht="15.75" customHeight="1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 spans="1:26" ht="15.75" customHeight="1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 spans="1:26" ht="15.75" customHeight="1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 spans="1:26" ht="15.75" customHeight="1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 spans="1:26" ht="15.75" customHeight="1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 spans="1:26" ht="15.75" customHeight="1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 spans="1:26" ht="15.75" customHeight="1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 spans="1:26" ht="15.75" customHeight="1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 spans="1:26" ht="15.75" customHeight="1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 spans="1:26" ht="15.75" customHeight="1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 spans="1:26" ht="15.75" customHeight="1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 spans="1:26" ht="15.75" customHeight="1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 spans="1:26" ht="15.75" customHeight="1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 spans="1:26" ht="15.75" customHeight="1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 spans="1:26" ht="15.75" customHeight="1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 spans="1:26" ht="15.75" customHeight="1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 spans="1:26" ht="15.75" customHeight="1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 spans="1:26" ht="15.75" customHeight="1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 spans="1:26" ht="15.75" customHeight="1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 spans="1:26" ht="15.75" customHeight="1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 spans="1:26" ht="15.75" customHeight="1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 spans="1:26" ht="15.75" customHeight="1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 spans="1:26" ht="15.75" customHeight="1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 spans="1:26" ht="15.75" customHeight="1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 spans="1:26" ht="15.75" customHeight="1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 spans="1:26" ht="15.75" customHeight="1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 spans="1:26" ht="15.75" customHeight="1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 spans="1:26" ht="15.75" customHeight="1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 spans="1:26" ht="15.75" customHeight="1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 spans="1:26" ht="15.75" customHeight="1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 spans="1:26" ht="15.75" customHeight="1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 spans="1:26" ht="15.75" customHeight="1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 spans="1:26" ht="15.75" customHeight="1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 spans="1:26" ht="15.75" customHeight="1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 spans="1:26" ht="15.75" customHeight="1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 spans="1:26" ht="15.75" customHeight="1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 spans="1:26" ht="15.75" customHeight="1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 spans="1:26" ht="15.75" customHeight="1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 spans="1:26" ht="15.75" customHeight="1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 spans="1:26" ht="15.75" customHeight="1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 spans="1:26" ht="15.75" customHeight="1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 spans="1:26" ht="15.75" customHeight="1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 spans="1:26" ht="15.75" customHeight="1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 spans="1:26" ht="15.75" customHeight="1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 spans="1:26" ht="15.75" customHeight="1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 spans="1:26" ht="15.75" customHeight="1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 spans="1:26" ht="15.75" customHeight="1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 spans="1:26" ht="15.75" customHeight="1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 spans="1:26" ht="15.75" customHeight="1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 spans="1:26" ht="15.75" customHeight="1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 spans="1:26" ht="15.75" customHeight="1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 spans="1:26" ht="15.75" customHeight="1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 spans="1:26" ht="15.75" customHeight="1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 spans="1:26" ht="15.75" customHeight="1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 spans="1:26" ht="15.75" customHeight="1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 spans="1:26" ht="15.75" customHeight="1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 spans="1:26" ht="15.75" customHeight="1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 spans="1:26" ht="15.75" customHeight="1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 spans="1:26" ht="15.75" customHeight="1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 spans="1:26" ht="15.75" customHeight="1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 spans="1:26" ht="15.75" customHeight="1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 spans="1:26" ht="15.75" customHeight="1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 spans="1:26" ht="15.75" customHeight="1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 spans="1:26" ht="15.75" customHeight="1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 spans="1:26" ht="15.75" customHeight="1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 spans="1:26" ht="15.75" customHeight="1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 spans="1:26" ht="15.75" customHeight="1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 spans="1:26" ht="15.75" customHeight="1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 spans="1:26" ht="15.75" customHeight="1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 spans="1:26" ht="15.75" customHeight="1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 spans="1:26" ht="15.75" customHeight="1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 spans="1:26" ht="15.75" customHeight="1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 spans="1:26" ht="15.75" customHeight="1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 spans="1:26" ht="15.75" customHeight="1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 spans="1:26" ht="15.75" customHeight="1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 spans="1:26" ht="15.75" customHeight="1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 spans="1:26" ht="15.75" customHeight="1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 spans="1:26" ht="15.75" customHeight="1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 spans="1:26" ht="15.75" customHeight="1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 spans="1:26" ht="15.75" customHeight="1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 spans="1:26" ht="15.75" customHeight="1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 spans="1:26" ht="15.75" customHeight="1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 spans="1:26" ht="15.75" customHeight="1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 spans="1:26" ht="15.75" customHeight="1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 spans="1:26" ht="15.75" customHeight="1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 spans="1:26" ht="15.75" customHeight="1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 spans="1:26" ht="15.75" customHeight="1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 spans="1:26" ht="15.75" customHeight="1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 spans="1:26" ht="15.75" customHeight="1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 spans="1:26" ht="15.75" customHeight="1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 spans="1:26" ht="15.75" customHeight="1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 spans="1:26" ht="15.75" customHeight="1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 spans="1:26" ht="15.75" customHeight="1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 spans="1:26" ht="15.75" customHeight="1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 spans="1:26" ht="15.75" customHeight="1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 spans="1:26" ht="15.75" customHeight="1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 spans="1:26" ht="15.75" customHeight="1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 spans="1:26" ht="15.75" customHeight="1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 spans="1:26" ht="15.75" customHeight="1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 spans="1:26" ht="15.75" customHeight="1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 spans="1:26" ht="15.75" customHeight="1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 spans="1:26" ht="15.75" customHeight="1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 spans="1:26" ht="15.75" customHeight="1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 spans="1:26" ht="15.75" customHeight="1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 spans="1:26" ht="15.75" customHeight="1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 spans="1:26" ht="15.75" customHeight="1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 spans="1:26" ht="15.75" customHeight="1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 spans="1:26" ht="15.75" customHeight="1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 spans="1:26" ht="15.75" customHeight="1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 spans="1:26" ht="15.75" customHeight="1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 spans="1:26" ht="15.75" customHeight="1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 spans="1:26" ht="15.75" customHeight="1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 spans="1:26" ht="15.75" customHeight="1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 spans="1:26" ht="15.75" customHeight="1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 spans="1:26" ht="15.75" customHeight="1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 spans="1:26" ht="15.75" customHeight="1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 spans="1:26" ht="15.75" customHeight="1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 spans="1:26" ht="15.75" customHeight="1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 spans="1:26" ht="15.75" customHeight="1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 spans="1:26" ht="15.75" customHeight="1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 spans="1:26" ht="15.75" customHeight="1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 spans="1:26" ht="15.75" customHeight="1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 spans="1:26" ht="15.75" customHeight="1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 spans="1:26" ht="15.75" customHeight="1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 spans="1:26" ht="15.75" customHeight="1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 spans="1:26" ht="15.75" customHeight="1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 spans="1:26" ht="15.75" customHeight="1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 spans="1:26" ht="15.75" customHeight="1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 spans="1:26" ht="15.75" customHeight="1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 spans="1:26" ht="15.75" customHeight="1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 spans="1:26" ht="15.75" customHeight="1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 spans="1:26" ht="15.75" customHeight="1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 spans="1:26" ht="15.75" customHeight="1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 spans="1:26" ht="15.75" customHeight="1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 spans="1:26" ht="15.75" customHeight="1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 spans="1:26" ht="15.75" customHeight="1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 spans="1:26" ht="15.75" customHeight="1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 spans="1:26" ht="15.75" customHeight="1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 spans="1:26" ht="15.75" customHeight="1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 spans="1:26" ht="15.75" customHeight="1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 spans="1:26" ht="15.75" customHeight="1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 spans="1:26" ht="15.75" customHeight="1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 spans="1:26" ht="15.75" customHeight="1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 spans="1:26" ht="15.75" customHeight="1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 spans="1:26" ht="15.75" customHeight="1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 spans="1:26" ht="15.75" customHeight="1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 spans="1:26" ht="15.75" customHeight="1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 spans="1:26" ht="15.75" customHeight="1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 spans="1:26" ht="15.75" customHeight="1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 spans="1:26" ht="15.75" customHeight="1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 spans="1:26" ht="15.75" customHeight="1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 spans="1:26" ht="15.75" customHeight="1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 spans="1:26" ht="15.75" customHeight="1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 spans="1:26" ht="15.75" customHeight="1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 spans="1:26" ht="15.75" customHeight="1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 spans="1:26" ht="15.75" customHeight="1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 spans="1:26" ht="15.75" customHeight="1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 spans="1:26" ht="15.75" customHeight="1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 spans="1:26" ht="15.75" customHeight="1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 spans="1:26" ht="15.75" customHeight="1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 spans="1:26" ht="15.75" customHeight="1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 spans="1:26" ht="15.75" customHeight="1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 spans="1:26" ht="15.75" customHeight="1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 spans="1:26" ht="15.75" customHeight="1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 spans="1:26" ht="15.75" customHeight="1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 spans="1:26" ht="15.75" customHeight="1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 spans="1:26" ht="15.75" customHeight="1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 spans="1:26" ht="15.75" customHeight="1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 spans="1:26" ht="15.75" customHeight="1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 spans="1:26" ht="15.75" customHeight="1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 spans="1:26" ht="15.75" customHeight="1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 spans="1:26" ht="15.75" customHeight="1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 spans="1:26" ht="15.75" customHeight="1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 spans="1:26" ht="15.75" customHeight="1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 spans="1:26" ht="15.75" customHeight="1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 spans="1:26" ht="15.75" customHeight="1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 spans="1:26" ht="15.75" customHeight="1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 spans="1:26" ht="15.75" customHeight="1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 spans="1:26" ht="15.75" customHeight="1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 spans="1:26" ht="15.75" customHeight="1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 spans="1:26" ht="15.75" customHeight="1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 spans="1:26" ht="15.75" customHeight="1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 spans="1:26" ht="15.75" customHeight="1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 spans="1:26" ht="15.75" customHeight="1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 spans="1:26" ht="15.75" customHeight="1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 spans="1:26" ht="15.75" customHeight="1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 spans="1:26" ht="15.75" customHeight="1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 spans="1:26" ht="15.75" customHeight="1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 spans="1:26" ht="15.75" customHeight="1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 spans="1:26" ht="15.75" customHeight="1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 spans="1:26" ht="15.75" customHeight="1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 spans="1:26" ht="15.75" customHeight="1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 spans="1:26" ht="15.75" customHeight="1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 spans="1:26" ht="15.75" customHeight="1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 spans="1:26" ht="15.75" customHeight="1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 spans="1:26" ht="15.75" customHeight="1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 spans="1:26" ht="15.75" customHeight="1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 spans="1:26" ht="15.75" customHeight="1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 spans="1:26" ht="15.75" customHeight="1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 spans="1:26" ht="15.75" customHeight="1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 spans="1:26" ht="15.75" customHeight="1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 spans="1:26" ht="15.75" customHeight="1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 spans="1:26" ht="15.75" customHeight="1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 spans="1:26" ht="15.75" customHeight="1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 spans="1:26" ht="15.75" customHeight="1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 spans="1:26" ht="15.75" customHeight="1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 spans="1:26" ht="15.75" customHeight="1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 spans="1:26" ht="15.75" customHeight="1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 spans="1:26" ht="15.75" customHeight="1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 spans="1:26" ht="15.75" customHeight="1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 spans="1:26" ht="15.75" customHeight="1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 spans="1:26" ht="15.75" customHeight="1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 spans="1:26" ht="15.75" customHeight="1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 spans="1:26" ht="15.75" customHeight="1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 spans="1:26" ht="15.75" customHeight="1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 spans="1:26" ht="15.75" customHeight="1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 spans="1:26" ht="15.75" customHeight="1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 spans="1:26" ht="15.75" customHeight="1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 spans="1:26" ht="15.75" customHeight="1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 spans="1:26" ht="15.75" customHeight="1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 spans="1:26" ht="15.75" customHeight="1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 spans="1:26" ht="15.75" customHeight="1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 spans="1:26" ht="15.75" customHeight="1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 spans="1:26" ht="15.75" customHeight="1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 spans="1:26" ht="15.75" customHeight="1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 spans="1:26" ht="15.75" customHeight="1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 spans="1:26" ht="15.75" customHeight="1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 spans="1:26" ht="15.75" customHeight="1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 spans="1:26" ht="15.75" customHeight="1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 spans="1:26" ht="15.75" customHeight="1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 spans="1:26" ht="15.75" customHeight="1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 spans="1:26" ht="15.75" customHeight="1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 spans="1:26" ht="15.75" customHeight="1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 spans="1:26" ht="15.75" customHeight="1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 spans="1:26" ht="15.75" customHeight="1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 spans="1:26" ht="15.75" customHeight="1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 spans="1:26" ht="15.75" customHeight="1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 spans="1:26" ht="15.75" customHeight="1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 spans="1:26" ht="15.75" customHeight="1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 spans="1:26" ht="15.75" customHeight="1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 spans="1:26" ht="15.75" customHeight="1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 spans="1:26" ht="15.75" customHeight="1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 spans="1:26" ht="15.75" customHeight="1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 spans="1:26" ht="15.75" customHeight="1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 spans="1:26" ht="15.75" customHeight="1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 spans="1:26" ht="15.75" customHeight="1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 spans="1:26" ht="15.75" customHeight="1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 spans="1:26" ht="15.75" customHeight="1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 spans="1:26" ht="15.75" customHeight="1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 spans="1:26" ht="15.75" customHeight="1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 spans="1:26" ht="15.75" customHeight="1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 spans="1:26" ht="15.75" customHeight="1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 spans="1:26" ht="15.75" customHeight="1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 spans="1:26" ht="15.75" customHeight="1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 spans="1:26" ht="15.75" customHeight="1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 spans="1:26" ht="15.75" customHeight="1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 spans="1:26" ht="15.75" customHeight="1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 spans="1:26" ht="15.75" customHeight="1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 spans="1:26" ht="15.75" customHeight="1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 spans="1:26" ht="15.75" customHeight="1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 spans="1:26" ht="15.75" customHeight="1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 spans="1:26" ht="15.75" customHeight="1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 spans="1:26" ht="15.75" customHeight="1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 spans="1:26" ht="15.75" customHeight="1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 spans="1:26" ht="15.75" customHeight="1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 spans="1:26" ht="15.75" customHeight="1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 spans="1:26" ht="15.75" customHeight="1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 spans="1:26" ht="15.75" customHeight="1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 spans="1:26" ht="15.75" customHeight="1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 spans="1:26" ht="15.75" customHeight="1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 spans="1:26" ht="15.75" customHeight="1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 spans="1:26" ht="15.75" customHeight="1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 spans="1:26" ht="15.75" customHeight="1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 spans="1:26" ht="15.75" customHeight="1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 spans="1:26" ht="15.75" customHeight="1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 spans="1:26" ht="15.75" customHeight="1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 spans="1:26" ht="15.75" customHeight="1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 spans="1:26" ht="15.75" customHeight="1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 spans="1:26" ht="15.75" customHeight="1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 spans="1:26" ht="15.75" customHeight="1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 spans="1:26" ht="15.75" customHeight="1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 spans="1:26" ht="15.75" customHeight="1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 spans="1:26" ht="15.75" customHeight="1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 spans="1:26" ht="15.75" customHeight="1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 spans="1:26" ht="15.75" customHeight="1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 spans="1:26" ht="15.75" customHeight="1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 spans="1:26" ht="15.75" customHeight="1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 spans="1:26" ht="15.75" customHeight="1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 spans="1:26" ht="15.75" customHeight="1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 spans="1:26" ht="15.75" customHeight="1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 spans="1:26" ht="15.75" customHeight="1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 spans="1:26" ht="15.75" customHeight="1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 spans="1:26" ht="15.75" customHeight="1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 spans="1:26" ht="15.75" customHeight="1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 spans="1:26" ht="15.75" customHeight="1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 spans="1:26" ht="15.75" customHeight="1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 spans="1:26" ht="15.75" customHeight="1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 spans="1:26" ht="15.75" customHeight="1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 spans="1:26" ht="15.75" customHeight="1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 spans="1:26" ht="15.75" customHeight="1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 spans="1:26" ht="15.75" customHeight="1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 spans="1:26" ht="15.75" customHeight="1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 spans="1:26" ht="15.75" customHeight="1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 spans="1:26" ht="15.75" customHeight="1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 spans="1:26" ht="15.75" customHeight="1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 spans="1:26" ht="15.75" customHeight="1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 spans="1:26" ht="15.75" customHeight="1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 spans="1:26" ht="15.75" customHeight="1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 spans="1:26" ht="15.75" customHeight="1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 spans="1:26" ht="15.75" customHeight="1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 spans="1:26" ht="15.75" customHeight="1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 spans="1:26" ht="15.75" customHeight="1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 spans="1:26" ht="15.75" customHeight="1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 spans="1:26" ht="15.75" customHeight="1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 spans="1:26" ht="15.75" customHeight="1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 spans="1:26" ht="15.75" customHeight="1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 spans="1:26" ht="15.75" customHeight="1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 spans="1:26" ht="15.75" customHeight="1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 spans="1:26" ht="15.75" customHeight="1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 spans="1:26" ht="15.75" customHeight="1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 spans="1:26" ht="15.75" customHeight="1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 spans="1:26" ht="15.75" customHeight="1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 spans="1:26" ht="15.75" customHeight="1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 spans="1:26" ht="15.75" customHeight="1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 spans="1:26" ht="15.75" customHeight="1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 spans="1:26" ht="15.75" customHeight="1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 spans="1:26" ht="15.75" customHeight="1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 spans="1:26" ht="15.75" customHeight="1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 spans="1:26" ht="15.75" customHeight="1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 spans="1:26" ht="15.75" customHeight="1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 spans="1:26" ht="15.75" customHeight="1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 spans="1:26" ht="15.75" customHeight="1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 spans="1:26" ht="15.75" customHeight="1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 spans="1:26" ht="15.75" customHeight="1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 spans="1:26" ht="15.75" customHeight="1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 spans="1:26" ht="15.75" customHeight="1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 spans="1:26" ht="15.75" customHeight="1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 spans="1:26" ht="15.75" customHeight="1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 spans="1:26" ht="15.75" customHeight="1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 spans="1:26" ht="15.75" customHeight="1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 spans="1:26" ht="15.75" customHeight="1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 spans="1:26" ht="15.75" customHeight="1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 spans="1:26" ht="15.75" customHeight="1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 spans="1:26" ht="15.75" customHeight="1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 spans="1:26" ht="15.75" customHeight="1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 spans="1:26" ht="15.75" customHeight="1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 spans="1:26" ht="15.75" customHeight="1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 spans="1:26" ht="15.75" customHeight="1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 spans="1:26" ht="15.75" customHeight="1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 spans="1:26" ht="15.75" customHeight="1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 spans="1:26" ht="15.75" customHeight="1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 spans="1:26" ht="15.75" customHeight="1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 spans="1:26" ht="15.75" customHeight="1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 spans="1:26" ht="15.75" customHeight="1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 spans="1:26" ht="15.75" customHeight="1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 spans="1:26" ht="15.75" customHeight="1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 spans="1:26" ht="15.75" customHeight="1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 spans="1:26" ht="15.75" customHeight="1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 spans="1:26" ht="15.75" customHeight="1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 spans="1:26" ht="15.75" customHeight="1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 spans="1:26" ht="15.75" customHeight="1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 spans="1:26" ht="15.75" customHeight="1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 spans="1:26" ht="15.75" customHeight="1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 spans="1:26" ht="15.75" customHeight="1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 spans="1:26" ht="15.75" customHeight="1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 spans="1:26" ht="15.75" customHeight="1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 spans="1:26" ht="15.75" customHeight="1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 spans="1:26" ht="15.75" customHeight="1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 spans="1:26" ht="15.75" customHeight="1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 spans="1:26" ht="15.75" customHeight="1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 spans="1:26" ht="15.75" customHeight="1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 spans="1:26" ht="15.75" customHeight="1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 spans="1:26" ht="15.75" customHeight="1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 spans="1:26" ht="15.75" customHeight="1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 spans="1:26" ht="15.75" customHeight="1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 spans="1:26" ht="15.75" customHeight="1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 spans="1:26" ht="15.75" customHeight="1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 spans="1:26" ht="15.75" customHeight="1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 spans="1:26" ht="15.75" customHeight="1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 spans="1:26" ht="15.75" customHeight="1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 spans="1:26" ht="15.75" customHeight="1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 spans="1:26" ht="15.75" customHeight="1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 spans="1:26" ht="15.75" customHeight="1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 spans="1:26" ht="15.75" customHeight="1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 spans="1:26" ht="15.75" customHeight="1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 spans="1:26" ht="15.75" customHeight="1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 spans="1:26" ht="15.75" customHeight="1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 spans="1:26" ht="15.75" customHeight="1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 spans="1:26" ht="15.75" customHeight="1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 spans="1:26" ht="15.75" customHeight="1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 spans="1:26" ht="15.75" customHeight="1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 spans="1:26" ht="15.75" customHeight="1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 spans="1:26" ht="15.75" customHeight="1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 spans="1:26" ht="15.75" customHeight="1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 spans="1:26" ht="15.75" customHeight="1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 spans="1:26" ht="15.75" customHeight="1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 spans="1:26" ht="15.75" customHeight="1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 spans="1:26" ht="15.75" customHeight="1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 spans="1:26" ht="15.75" customHeight="1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 spans="1:26" ht="15.75" customHeight="1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 spans="1:26" ht="15.75" customHeight="1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 spans="1:26" ht="15.75" customHeight="1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 spans="1:26" ht="15.75" customHeight="1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 spans="1:26" ht="15.75" customHeight="1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 spans="1:26" ht="15.75" customHeight="1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 spans="1:26" ht="15.75" customHeight="1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 spans="1:26" ht="15.75" customHeight="1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 spans="1:26" ht="15.75" customHeight="1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 spans="1:26" ht="15.75" customHeight="1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 spans="1:26" ht="15.75" customHeight="1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 spans="1:26" ht="15.75" customHeight="1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 spans="1:26" ht="15.75" customHeight="1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 spans="1:26" ht="15.75" customHeight="1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 spans="1:26" ht="15.75" customHeight="1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 spans="1:26" ht="15.75" customHeight="1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 spans="1:26" ht="15.75" customHeight="1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 spans="1:26" ht="15.75" customHeight="1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 spans="1:26" ht="15.75" customHeight="1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 spans="1:26" ht="15.75" customHeight="1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 spans="1:26" ht="15.75" customHeight="1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 spans="1:26" ht="15.75" customHeight="1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 spans="1:26" ht="15.75" customHeight="1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 spans="1:26" ht="15.75" customHeight="1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 spans="1:26" ht="15.75" customHeight="1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 spans="1:26" ht="15.75" customHeight="1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 spans="1:26" ht="15.75" customHeight="1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 spans="1:26" ht="15.75" customHeight="1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 spans="1:26" ht="15.75" customHeight="1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 spans="1:26" ht="15.75" customHeight="1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 spans="1:26" ht="15.75" customHeight="1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 spans="1:26" ht="15.75" customHeight="1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 spans="1:26" ht="15.75" customHeight="1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 spans="1:26" ht="15.75" customHeight="1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 spans="1:26" ht="15.75" customHeight="1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 spans="1:26" ht="15.75" customHeight="1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 spans="1:26" ht="15.75" customHeight="1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 spans="1:26" ht="15.75" customHeight="1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 spans="1:26" ht="15.75" customHeight="1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 spans="1:26" ht="15.75" customHeight="1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 spans="1:26" ht="15.75" customHeight="1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 spans="1:26" ht="15.75" customHeight="1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 spans="1:26" ht="15.75" customHeight="1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 spans="1:26" ht="15.75" customHeight="1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 spans="1:26" ht="15.75" customHeight="1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 spans="1:26" ht="15.75" customHeight="1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 spans="1:26" ht="15.75" customHeight="1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 spans="1:26" ht="15.75" customHeight="1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 spans="1:26" ht="15.75" customHeight="1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 spans="1:26" ht="15.75" customHeight="1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 spans="1:26" ht="15.75" customHeight="1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 spans="1:26" ht="15.75" customHeight="1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 spans="1:26" ht="15.75" customHeight="1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 spans="1:26" ht="15.75" customHeight="1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 spans="1:26" ht="15.75" customHeight="1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 spans="1:26" ht="15.75" customHeight="1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 spans="1:26" ht="15.75" customHeight="1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 spans="1:26" ht="15.75" customHeight="1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 spans="1:26" ht="15.75" customHeight="1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 spans="1:26" ht="15.75" customHeight="1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 spans="1:26" ht="15.75" customHeight="1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 spans="1:26" ht="15.75" customHeight="1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 spans="1:26" ht="15.75" customHeight="1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 spans="1:26" ht="15.75" customHeight="1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 spans="1:26" ht="15.75" customHeight="1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 spans="1:26" ht="15.75" customHeight="1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 spans="1:26" ht="15.75" customHeight="1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 spans="1:26" ht="15.75" customHeight="1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 spans="1:26" ht="15.75" customHeight="1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 spans="1:26" ht="15.75" customHeight="1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 spans="1:26" ht="15.75" customHeight="1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 spans="1:26" ht="15.75" customHeight="1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 spans="1:26" ht="15.75" customHeight="1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 spans="1:26" ht="15.75" customHeight="1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 spans="1:26" ht="15.75" customHeight="1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 spans="1:26" ht="15.75" customHeight="1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 spans="1:26" ht="15.75" customHeight="1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 spans="1:26" ht="15.75" customHeight="1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 spans="1:26" ht="15.75" customHeight="1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 spans="1:26" ht="15.75" customHeight="1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 spans="1:26" ht="15.75" customHeight="1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 spans="1:26" ht="15.75" customHeight="1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 spans="1:26" ht="15.75" customHeight="1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 spans="1:26" ht="15.75" customHeight="1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 spans="1:26" ht="15.75" customHeight="1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 spans="1:26" ht="15.75" customHeight="1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 spans="1:26" ht="15.75" customHeight="1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 spans="1:26" ht="15.75" customHeight="1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 spans="1:26" ht="15.75" customHeight="1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 spans="1:26" ht="15.75" customHeight="1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 spans="1:26" ht="15.75" customHeight="1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 spans="1:26" ht="15.75" customHeight="1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 spans="1:26" ht="15.75" customHeight="1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 spans="1:26" ht="15.75" customHeight="1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 spans="1:26" ht="15.75" customHeight="1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 spans="1:26" ht="15.75" customHeight="1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 spans="1:26" ht="15.75" customHeight="1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 spans="1:26" ht="15.75" customHeight="1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 spans="1:26" ht="15.75" customHeight="1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 spans="1:26" ht="15.75" customHeight="1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 spans="1:26" ht="15.75" customHeight="1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 spans="1:26" ht="15.75" customHeight="1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 spans="1:26" ht="15.75" customHeight="1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 spans="1:26" ht="15.75" customHeight="1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 spans="1:26" ht="15.75" customHeight="1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 spans="1:26" ht="15.75" customHeight="1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 spans="1:26" ht="15.75" customHeight="1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 spans="1:26" ht="15.75" customHeight="1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 spans="1:26" ht="15.75" customHeight="1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 spans="1:26" ht="15.75" customHeight="1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 spans="1:26" ht="15.75" customHeight="1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 spans="1:26" ht="15.75" customHeight="1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 spans="1:26" ht="15.75" customHeight="1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 spans="1:26" ht="15.75" customHeight="1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 spans="1:26" ht="15.75" customHeight="1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 spans="1:26" ht="15.75" customHeight="1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 spans="1:26" ht="15.75" customHeight="1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 spans="1:26" ht="15.75" customHeight="1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 spans="1:26" ht="15.75" customHeight="1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 spans="1:26" ht="15.75" customHeight="1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 spans="1:26" ht="15.75" customHeight="1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 spans="1:26" ht="15.75" customHeight="1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 spans="1:26" ht="15.75" customHeight="1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 spans="1:26" ht="15.75" customHeight="1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 spans="1:26" ht="15.75" customHeight="1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 spans="1:26" ht="15.75" customHeight="1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 spans="1:26" ht="15.75" customHeight="1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 spans="1:26" ht="15.75" customHeight="1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 spans="1:26" ht="15.75" customHeight="1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 spans="1:26" ht="15.75" customHeight="1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 spans="1:26" ht="15.75" customHeight="1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 spans="1:26" ht="15.75" customHeight="1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 spans="1:26" ht="15.75" customHeight="1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 spans="1:26" ht="15.75" customHeight="1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 spans="1:26" ht="15.75" customHeight="1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 spans="1:26" ht="15.75" customHeight="1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 spans="1:26" ht="15.75" customHeight="1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 spans="1:26" ht="15.75" customHeight="1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 spans="1:26" ht="15.75" customHeight="1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 spans="1:26" ht="15.75" customHeight="1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 spans="1:26" ht="15.75" customHeight="1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 spans="1:26" ht="15.75" customHeight="1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 spans="1:26" ht="15.75" customHeight="1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 spans="1:26" ht="15.75" customHeight="1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 spans="1:26" ht="15.75" customHeight="1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 spans="1:26" ht="15.75" customHeight="1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 spans="1:26" ht="15.75" customHeight="1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 spans="1:26" ht="15.75" customHeight="1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 spans="1:26" ht="15.75" customHeight="1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 spans="1:26" ht="15.75" customHeight="1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 spans="1:26" ht="15.75" customHeight="1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 spans="1:26" ht="15.75" customHeight="1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 spans="1:26" ht="15.75" customHeight="1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 spans="1:26" ht="15.75" customHeight="1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 spans="1:26" ht="15.75" customHeight="1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 spans="1:26" ht="15.75" customHeight="1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 spans="1:26" ht="15.75" customHeight="1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 spans="1:26" ht="15.75" customHeight="1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 spans="1:26" ht="15.75" customHeight="1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 spans="1:26" ht="15.75" customHeight="1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 spans="1:26" ht="15.75" customHeight="1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 spans="1:26" ht="15.75" customHeight="1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 spans="1:26" ht="15.75" customHeight="1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 spans="1:26" ht="15.75" customHeight="1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 spans="1:26" ht="15.75" customHeight="1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 spans="1:26" ht="15.75" customHeight="1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 spans="1:26" ht="15.75" customHeight="1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 spans="1:26" ht="15.75" customHeight="1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 spans="1:26" ht="15.75" customHeight="1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 spans="1:26" ht="15.75" customHeight="1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 spans="1:26" ht="15.75" customHeight="1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 spans="1:26" ht="15.75" customHeight="1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 spans="1:26" ht="15.75" customHeight="1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 spans="1:26" ht="15.75" customHeight="1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 spans="1:26" ht="15.75" customHeight="1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 spans="1:26" ht="15.75" customHeight="1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 spans="1:26" ht="15.75" customHeight="1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 spans="1:26" ht="15.75" customHeight="1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 spans="1:26" ht="15.75" customHeight="1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 spans="1:26" ht="15.75" customHeight="1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 spans="1:26" ht="15.75" customHeight="1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 spans="1:26" ht="15.75" customHeight="1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 spans="1:26" ht="15.75" customHeight="1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 spans="1:26" ht="15.75" customHeight="1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 spans="1:26" ht="15.75" customHeight="1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 spans="1:26" ht="15.75" customHeight="1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 spans="1:26" ht="15.75" customHeight="1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 spans="1:26" ht="15.75" customHeight="1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 spans="1:26" ht="15.75" customHeight="1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 spans="1:26" ht="15.75" customHeight="1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 spans="1:26" ht="15.75" customHeight="1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 spans="1:26" ht="15.75" customHeight="1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 spans="1:26" ht="15.75" customHeight="1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 spans="1:26" ht="15.75" customHeight="1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 spans="1:26" ht="15.75" customHeight="1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 spans="1:26" ht="15.75" customHeight="1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 spans="1:26" ht="15.75" customHeight="1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 spans="1:26" ht="15.75" customHeight="1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 spans="1:26" ht="15.75" customHeight="1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 spans="1:26" ht="15.75" customHeight="1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 spans="1:26" ht="15.75" customHeight="1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 spans="1:26" ht="15.75" customHeight="1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 spans="1:26" ht="15.75" customHeight="1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 spans="1:26" ht="15.75" customHeight="1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 spans="1:26" ht="15.75" customHeight="1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 spans="1:26" ht="15.75" customHeight="1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 spans="1:26" ht="15.75" customHeight="1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 spans="1:26" ht="15.75" customHeight="1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 spans="1:26" ht="15.75" customHeight="1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 spans="1:26" ht="15.75" customHeight="1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 spans="1:26" ht="15.75" customHeight="1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 spans="1:26" ht="15.75" customHeight="1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 spans="1:26" ht="15.75" customHeight="1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 spans="1:26" ht="15.75" customHeight="1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 spans="1:26" ht="15.75" customHeight="1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 spans="1:26" ht="15.75" customHeight="1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 spans="1:26" ht="15.75" customHeight="1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 spans="1:26" ht="15.75" customHeight="1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 spans="1:26" ht="15.75" customHeight="1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 spans="1:26" ht="15.75" customHeight="1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 spans="1:26" ht="15.75" customHeight="1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 spans="1:26" ht="15.75" customHeight="1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 spans="1:26" ht="15.75" customHeight="1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 spans="1:26" ht="15.75" customHeight="1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 spans="1:26" ht="15.75" customHeight="1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 spans="1:26" ht="15.75" customHeight="1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 spans="1:26" ht="15.75" customHeight="1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 spans="1:26" ht="15.75" customHeight="1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 spans="1:26" ht="15.75" customHeight="1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 spans="1:26" ht="15.75" customHeight="1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 spans="1:26" ht="15.75" customHeight="1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 spans="1:26" ht="15.75" customHeight="1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 spans="1:26" ht="15.75" customHeight="1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 spans="1:26" ht="15.75" customHeight="1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 spans="1:26" ht="15.75" customHeight="1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 spans="1:26" ht="15.75" customHeight="1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 spans="1:26" ht="15.75" customHeight="1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 spans="1:26" ht="15.75" customHeight="1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 spans="1:26" ht="15.75" customHeight="1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 spans="1:26" ht="15.75" customHeight="1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 spans="1:26" ht="15.75" customHeight="1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 spans="1:26" ht="15.75" customHeight="1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 spans="1:26" ht="15.75" customHeight="1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 spans="1:26" ht="15.75" customHeight="1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 spans="1:26" ht="15.75" customHeight="1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 spans="1:26" ht="15.75" customHeight="1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 spans="1:26" ht="15.75" customHeight="1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 spans="1:26" ht="15.75" customHeight="1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 spans="1:26" ht="15.75" customHeight="1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 spans="1:26" ht="15.75" customHeight="1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 spans="1:26" ht="15.75" customHeight="1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 spans="1:26" ht="15.75" customHeight="1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 spans="1:26" ht="15.75" customHeight="1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 spans="1:26" ht="15.75" customHeight="1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 spans="1:26" ht="15.75" customHeight="1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 spans="1:26" ht="15.75" customHeight="1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 spans="1:26" ht="15.75" customHeight="1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 spans="1:26" ht="15.75" customHeight="1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 spans="1:26" ht="15.75" customHeight="1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 spans="1:26" ht="15.75" customHeight="1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 spans="1:26" ht="15.75" customHeight="1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 spans="1:26" ht="15.75" customHeight="1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 spans="1:26" ht="15.75" customHeight="1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 spans="1:26" ht="15.75" customHeight="1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 spans="1:26" ht="15.75" customHeight="1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 spans="1:26" ht="15.75" customHeight="1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 spans="1:26" ht="15.75" customHeight="1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 spans="1:26" ht="15.75" customHeight="1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 spans="1:26" ht="15.75" customHeight="1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 spans="1:26" ht="15.75" customHeight="1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 spans="1:26" ht="15.75" customHeight="1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 spans="1:26" ht="15.75" customHeight="1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 spans="1:26" ht="15.75" customHeight="1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 spans="1:26" ht="15.75" customHeight="1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 spans="1:26" ht="15.75" customHeight="1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 spans="1:26" ht="15.75" customHeight="1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 spans="1:26" ht="15.75" customHeight="1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 spans="1:26" ht="15.75" customHeight="1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 spans="1:26" ht="15.75" customHeight="1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 spans="1:26" ht="15.75" customHeight="1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 spans="1:26" ht="15.75" customHeight="1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 spans="1:26" ht="15.75" customHeight="1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 spans="1:26" ht="15.75" customHeight="1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 spans="1:26" ht="15.75" customHeight="1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 spans="1:26" ht="15.75" customHeight="1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 spans="1:26" ht="15.75" customHeight="1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 spans="1:26" ht="15.75" customHeight="1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 spans="1:26" ht="15.75" customHeight="1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 spans="1:26" ht="15.75" customHeight="1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 spans="1:26" ht="15.75" customHeight="1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 spans="1:26" ht="15.75" customHeight="1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 spans="1:26" ht="15.75" customHeight="1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 spans="1:26" ht="15.75" customHeight="1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 spans="1:26" ht="15.75" customHeight="1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 spans="1:26" ht="15.75" customHeight="1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 spans="1:26" ht="15.75" customHeight="1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 spans="1:26" ht="15.75" customHeight="1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 spans="1:26" ht="15.75" customHeight="1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 spans="1:26" ht="15.75" customHeight="1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 spans="1:26" ht="15.75" customHeight="1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 spans="1:26" ht="15.75" customHeight="1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 spans="1:26" ht="15.75" customHeight="1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 spans="1:26" ht="15.75" customHeight="1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 spans="1:26" ht="15.75" customHeight="1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 spans="1:26" ht="15.75" customHeight="1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 spans="1:26" ht="15.75" customHeight="1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 spans="1:26" ht="15.75" customHeight="1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 spans="1:26" ht="15.75" customHeight="1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 spans="1:26" ht="15.75" customHeight="1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 spans="1:26" ht="15.75" customHeight="1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 spans="1:26" ht="15.75" customHeight="1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 spans="1:26" ht="15.75" customHeight="1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 spans="1:26" ht="15.75" customHeight="1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 spans="1:26" ht="15.75" customHeight="1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 spans="1:26" ht="15.75" customHeight="1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 spans="1:26" ht="15.75" customHeight="1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 spans="1:26" ht="15.75" customHeight="1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 spans="1:26" ht="15.75" customHeight="1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 spans="1:26" ht="15.75" customHeight="1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 spans="1:26" ht="15.75" customHeight="1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 spans="1:26" ht="15.75" customHeight="1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 spans="1:26" ht="15.75" customHeight="1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 spans="1:26" ht="15.75" customHeight="1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 spans="1:26" ht="15.75" customHeight="1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 spans="1:26" ht="15.75" customHeight="1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 spans="1:26" ht="15.75" customHeight="1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 spans="1:26" ht="15.75" customHeight="1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 spans="1:26" ht="15.75" customHeight="1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 spans="1:26" ht="15.75" customHeight="1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 spans="1:26" ht="15.75" customHeight="1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 spans="1:26" ht="15.75" customHeight="1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 spans="1:26" ht="15.75" customHeight="1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 spans="1:26" ht="15.75" customHeight="1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 spans="1:26" ht="15.75" customHeight="1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 spans="1:26" ht="15.75" customHeight="1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 spans="1:26" ht="15.75" customHeight="1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 spans="1:26" ht="15.75" customHeight="1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 spans="1:26" ht="15.75" customHeight="1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 spans="1:26" ht="15.75" customHeight="1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 spans="1:26" ht="15.75" customHeight="1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 spans="1:26" ht="15.75" customHeight="1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  <row r="999" spans="1:26" ht="15.75" customHeight="1">
      <c r="A999" s="108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</row>
    <row r="1000" spans="1:26" ht="15.75" customHeight="1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4.44140625" defaultRowHeight="15" customHeight="1"/>
  <cols>
    <col min="1" max="6" width="12.88671875" customWidth="1"/>
    <col min="7" max="26" width="9.109375" customWidth="1"/>
  </cols>
  <sheetData>
    <row r="1" spans="1:26" ht="14.25" customHeight="1">
      <c r="A1" s="196" t="s">
        <v>21</v>
      </c>
      <c r="B1" s="155"/>
      <c r="C1" s="155"/>
      <c r="D1" s="155"/>
      <c r="E1" s="155"/>
      <c r="F1" s="159"/>
      <c r="G1" s="115"/>
      <c r="H1" s="115"/>
      <c r="I1" s="11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>
      <c r="A2" s="197" t="s">
        <v>22</v>
      </c>
      <c r="B2" s="155"/>
      <c r="C2" s="155"/>
      <c r="D2" s="155"/>
      <c r="E2" s="155"/>
      <c r="F2" s="159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25" customHeight="1">
      <c r="A3" s="197" t="s">
        <v>23</v>
      </c>
      <c r="B3" s="155"/>
      <c r="C3" s="155"/>
      <c r="D3" s="155"/>
      <c r="E3" s="155"/>
      <c r="F3" s="159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>
      <c r="A4" s="196" t="s">
        <v>24</v>
      </c>
      <c r="B4" s="155"/>
      <c r="C4" s="155"/>
      <c r="D4" s="155"/>
      <c r="E4" s="155"/>
      <c r="F4" s="159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62.25" customHeight="1">
      <c r="A5" s="194" t="s">
        <v>25</v>
      </c>
      <c r="B5" s="155"/>
      <c r="C5" s="155"/>
      <c r="D5" s="155"/>
      <c r="E5" s="155"/>
      <c r="F5" s="159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customHeight="1">
      <c r="A6" s="196" t="s">
        <v>26</v>
      </c>
      <c r="B6" s="155"/>
      <c r="C6" s="155"/>
      <c r="D6" s="155"/>
      <c r="E6" s="155"/>
      <c r="F6" s="159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0" customHeight="1">
      <c r="A7" s="194" t="s">
        <v>27</v>
      </c>
      <c r="B7" s="155"/>
      <c r="C7" s="155"/>
      <c r="D7" s="155"/>
      <c r="E7" s="155"/>
      <c r="F7" s="15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25" customHeight="1">
      <c r="A8" s="196" t="s">
        <v>28</v>
      </c>
      <c r="B8" s="155"/>
      <c r="C8" s="155"/>
      <c r="D8" s="155"/>
      <c r="E8" s="155"/>
      <c r="F8" s="15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" customHeight="1">
      <c r="A9" s="193" t="s">
        <v>176</v>
      </c>
      <c r="B9" s="155"/>
      <c r="C9" s="155"/>
      <c r="D9" s="155"/>
      <c r="E9" s="155"/>
      <c r="F9" s="15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" customHeight="1">
      <c r="A10" s="194" t="s">
        <v>177</v>
      </c>
      <c r="B10" s="155"/>
      <c r="C10" s="155"/>
      <c r="D10" s="155"/>
      <c r="E10" s="155"/>
      <c r="F10" s="15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 customHeight="1">
      <c r="A11" s="193" t="s">
        <v>178</v>
      </c>
      <c r="B11" s="155"/>
      <c r="C11" s="155"/>
      <c r="D11" s="155"/>
      <c r="E11" s="155"/>
      <c r="F11" s="15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25" customHeight="1">
      <c r="A12" s="194" t="s">
        <v>179</v>
      </c>
      <c r="B12" s="155"/>
      <c r="C12" s="155"/>
      <c r="D12" s="155"/>
      <c r="E12" s="155"/>
      <c r="F12" s="159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>
      <c r="A13" s="193" t="s">
        <v>180</v>
      </c>
      <c r="B13" s="155"/>
      <c r="C13" s="155"/>
      <c r="D13" s="155"/>
      <c r="E13" s="155"/>
      <c r="F13" s="159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0.75" customHeight="1">
      <c r="A14" s="194" t="s">
        <v>181</v>
      </c>
      <c r="B14" s="155"/>
      <c r="C14" s="155"/>
      <c r="D14" s="155"/>
      <c r="E14" s="155"/>
      <c r="F14" s="159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customHeight="1">
      <c r="A15" s="195"/>
      <c r="B15" s="141"/>
      <c r="C15" s="141"/>
      <c r="D15" s="141"/>
      <c r="E15" s="141"/>
      <c r="F15" s="142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 customHeight="1">
      <c r="A16" s="87"/>
      <c r="B16" s="87"/>
      <c r="C16" s="87"/>
      <c r="D16" s="87"/>
      <c r="E16" s="87"/>
      <c r="F16" s="87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25" customHeight="1">
      <c r="A17" s="87"/>
      <c r="B17" s="87"/>
      <c r="C17" s="87"/>
      <c r="D17" s="87"/>
      <c r="E17" s="87"/>
      <c r="F17" s="87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25" customHeight="1">
      <c r="A18" s="87"/>
      <c r="B18" s="87"/>
      <c r="C18" s="87"/>
      <c r="D18" s="87"/>
      <c r="E18" s="87"/>
      <c r="F18" s="87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25" customHeight="1">
      <c r="A19" s="87"/>
      <c r="B19" s="87"/>
      <c r="C19" s="87"/>
      <c r="D19" s="87"/>
      <c r="E19" s="87"/>
      <c r="F19" s="87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 customHeight="1">
      <c r="A20" s="87"/>
      <c r="B20" s="87"/>
      <c r="C20" s="87"/>
      <c r="D20" s="87"/>
      <c r="E20" s="87"/>
      <c r="F20" s="87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 customHeight="1">
      <c r="A21" s="87"/>
      <c r="B21" s="87"/>
      <c r="C21" s="87"/>
      <c r="D21" s="87"/>
      <c r="E21" s="87"/>
      <c r="F21" s="87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customHeight="1">
      <c r="A22" s="87"/>
      <c r="B22" s="87"/>
      <c r="C22" s="87"/>
      <c r="D22" s="87"/>
      <c r="E22" s="87"/>
      <c r="F22" s="87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customHeight="1">
      <c r="A23" s="87"/>
      <c r="B23" s="87"/>
      <c r="C23" s="87"/>
      <c r="D23" s="87"/>
      <c r="E23" s="87"/>
      <c r="F23" s="87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>
      <c r="A24" s="87"/>
      <c r="B24" s="87"/>
      <c r="C24" s="87"/>
      <c r="D24" s="87"/>
      <c r="E24" s="87"/>
      <c r="F24" s="87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customHeight="1">
      <c r="A25" s="87"/>
      <c r="B25" s="87"/>
      <c r="C25" s="87"/>
      <c r="D25" s="87"/>
      <c r="E25" s="87"/>
      <c r="F25" s="87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customHeight="1">
      <c r="A26" s="87"/>
      <c r="B26" s="87"/>
      <c r="C26" s="87"/>
      <c r="D26" s="87"/>
      <c r="E26" s="87"/>
      <c r="F26" s="87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customHeight="1">
      <c r="A27" s="87"/>
      <c r="B27" s="87"/>
      <c r="C27" s="87"/>
      <c r="D27" s="87"/>
      <c r="E27" s="87"/>
      <c r="F27" s="87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25" customHeight="1">
      <c r="A28" s="87"/>
      <c r="B28" s="87"/>
      <c r="C28" s="87"/>
      <c r="D28" s="87"/>
      <c r="E28" s="87"/>
      <c r="F28" s="87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customHeight="1">
      <c r="A29" s="87"/>
      <c r="B29" s="87"/>
      <c r="C29" s="87"/>
      <c r="D29" s="87"/>
      <c r="E29" s="87"/>
      <c r="F29" s="87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customHeight="1">
      <c r="A30" s="87"/>
      <c r="B30" s="87"/>
      <c r="C30" s="87"/>
      <c r="D30" s="87"/>
      <c r="E30" s="87"/>
      <c r="F30" s="87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>
      <c r="A31" s="87"/>
      <c r="B31" s="87"/>
      <c r="C31" s="87"/>
      <c r="D31" s="87"/>
      <c r="E31" s="87"/>
      <c r="F31" s="87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>
      <c r="A32" s="87"/>
      <c r="B32" s="87"/>
      <c r="C32" s="87"/>
      <c r="D32" s="87"/>
      <c r="E32" s="87"/>
      <c r="F32" s="87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>
      <c r="A33" s="87"/>
      <c r="B33" s="87"/>
      <c r="C33" s="87"/>
      <c r="D33" s="87"/>
      <c r="E33" s="87"/>
      <c r="F33" s="87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>
      <c r="A34" s="87"/>
      <c r="B34" s="87"/>
      <c r="C34" s="87"/>
      <c r="D34" s="87"/>
      <c r="E34" s="87"/>
      <c r="F34" s="87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>
      <c r="A35" s="87"/>
      <c r="B35" s="87"/>
      <c r="C35" s="87"/>
      <c r="D35" s="87"/>
      <c r="E35" s="87"/>
      <c r="F35" s="87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>
      <c r="A36" s="87"/>
      <c r="B36" s="87"/>
      <c r="C36" s="87"/>
      <c r="D36" s="87"/>
      <c r="E36" s="87"/>
      <c r="F36" s="87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>
      <c r="A37" s="87"/>
      <c r="B37" s="87"/>
      <c r="C37" s="87"/>
      <c r="D37" s="87"/>
      <c r="E37" s="87"/>
      <c r="F37" s="87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>
      <c r="A38" s="87"/>
      <c r="B38" s="87"/>
      <c r="C38" s="87"/>
      <c r="D38" s="87"/>
      <c r="E38" s="87"/>
      <c r="F38" s="87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>
      <c r="A39" s="87"/>
      <c r="B39" s="87"/>
      <c r="C39" s="87"/>
      <c r="D39" s="87"/>
      <c r="E39" s="87"/>
      <c r="F39" s="87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25" customHeight="1">
      <c r="A40" s="87"/>
      <c r="B40" s="87"/>
      <c r="C40" s="87"/>
      <c r="D40" s="87"/>
      <c r="E40" s="87"/>
      <c r="F40" s="87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25" customHeight="1">
      <c r="A41" s="87"/>
      <c r="B41" s="87"/>
      <c r="C41" s="87"/>
      <c r="D41" s="87"/>
      <c r="E41" s="87"/>
      <c r="F41" s="87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 customHeight="1">
      <c r="A42" s="87"/>
      <c r="B42" s="87"/>
      <c r="C42" s="87"/>
      <c r="D42" s="87"/>
      <c r="E42" s="87"/>
      <c r="F42" s="87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25" customHeight="1">
      <c r="A43" s="87"/>
      <c r="B43" s="87"/>
      <c r="C43" s="87"/>
      <c r="D43" s="87"/>
      <c r="E43" s="87"/>
      <c r="F43" s="87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25" customHeight="1">
      <c r="A44" s="87"/>
      <c r="B44" s="87"/>
      <c r="C44" s="87"/>
      <c r="D44" s="87"/>
      <c r="E44" s="87"/>
      <c r="F44" s="87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 customHeight="1">
      <c r="A45" s="87"/>
      <c r="B45" s="87"/>
      <c r="C45" s="87"/>
      <c r="D45" s="87"/>
      <c r="E45" s="87"/>
      <c r="F45" s="87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25" customHeight="1">
      <c r="A46" s="87"/>
      <c r="B46" s="87"/>
      <c r="C46" s="87"/>
      <c r="D46" s="87"/>
      <c r="E46" s="87"/>
      <c r="F46" s="87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25" customHeight="1">
      <c r="A47" s="87"/>
      <c r="B47" s="87"/>
      <c r="C47" s="87"/>
      <c r="D47" s="87"/>
      <c r="E47" s="87"/>
      <c r="F47" s="87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customHeight="1">
      <c r="A48" s="87"/>
      <c r="B48" s="87"/>
      <c r="C48" s="87"/>
      <c r="D48" s="87"/>
      <c r="E48" s="87"/>
      <c r="F48" s="87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customHeight="1">
      <c r="A49" s="87"/>
      <c r="B49" s="87"/>
      <c r="C49" s="87"/>
      <c r="D49" s="87"/>
      <c r="E49" s="87"/>
      <c r="F49" s="87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>
      <c r="A50" s="87"/>
      <c r="B50" s="87"/>
      <c r="C50" s="87"/>
      <c r="D50" s="87"/>
      <c r="E50" s="87"/>
      <c r="F50" s="87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>
      <c r="A51" s="87"/>
      <c r="B51" s="87"/>
      <c r="C51" s="87"/>
      <c r="D51" s="87"/>
      <c r="E51" s="87"/>
      <c r="F51" s="87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>
      <c r="A52" s="87"/>
      <c r="B52" s="87"/>
      <c r="C52" s="87"/>
      <c r="D52" s="87"/>
      <c r="E52" s="87"/>
      <c r="F52" s="87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>
      <c r="A53" s="87"/>
      <c r="B53" s="87"/>
      <c r="C53" s="87"/>
      <c r="D53" s="87"/>
      <c r="E53" s="87"/>
      <c r="F53" s="87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>
      <c r="A54" s="87"/>
      <c r="B54" s="87"/>
      <c r="C54" s="87"/>
      <c r="D54" s="87"/>
      <c r="E54" s="87"/>
      <c r="F54" s="87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>
      <c r="A55" s="87"/>
      <c r="B55" s="87"/>
      <c r="C55" s="87"/>
      <c r="D55" s="87"/>
      <c r="E55" s="87"/>
      <c r="F55" s="87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>
      <c r="A56" s="87"/>
      <c r="B56" s="87"/>
      <c r="C56" s="87"/>
      <c r="D56" s="87"/>
      <c r="E56" s="87"/>
      <c r="F56" s="87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>
      <c r="A57" s="87"/>
      <c r="B57" s="87"/>
      <c r="C57" s="87"/>
      <c r="D57" s="87"/>
      <c r="E57" s="87"/>
      <c r="F57" s="87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>
      <c r="A58" s="87"/>
      <c r="B58" s="87"/>
      <c r="C58" s="87"/>
      <c r="D58" s="87"/>
      <c r="E58" s="87"/>
      <c r="F58" s="87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>
      <c r="A59" s="87"/>
      <c r="B59" s="87"/>
      <c r="C59" s="87"/>
      <c r="D59" s="87"/>
      <c r="E59" s="87"/>
      <c r="F59" s="87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>
      <c r="A60" s="87"/>
      <c r="B60" s="87"/>
      <c r="C60" s="87"/>
      <c r="D60" s="87"/>
      <c r="E60" s="87"/>
      <c r="F60" s="87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>
      <c r="A61" s="87"/>
      <c r="B61" s="87"/>
      <c r="C61" s="87"/>
      <c r="D61" s="87"/>
      <c r="E61" s="87"/>
      <c r="F61" s="87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>
      <c r="A62" s="87"/>
      <c r="B62" s="87"/>
      <c r="C62" s="87"/>
      <c r="D62" s="87"/>
      <c r="E62" s="87"/>
      <c r="F62" s="87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>
      <c r="A63" s="87"/>
      <c r="B63" s="87"/>
      <c r="C63" s="87"/>
      <c r="D63" s="87"/>
      <c r="E63" s="87"/>
      <c r="F63" s="87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>
      <c r="A64" s="87"/>
      <c r="B64" s="87"/>
      <c r="C64" s="87"/>
      <c r="D64" s="87"/>
      <c r="E64" s="87"/>
      <c r="F64" s="87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>
      <c r="A65" s="87"/>
      <c r="B65" s="87"/>
      <c r="C65" s="87"/>
      <c r="D65" s="87"/>
      <c r="E65" s="87"/>
      <c r="F65" s="87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>
      <c r="A66" s="87"/>
      <c r="B66" s="87"/>
      <c r="C66" s="87"/>
      <c r="D66" s="87"/>
      <c r="E66" s="87"/>
      <c r="F66" s="87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>
      <c r="A67" s="87"/>
      <c r="B67" s="87"/>
      <c r="C67" s="87"/>
      <c r="D67" s="87"/>
      <c r="E67" s="87"/>
      <c r="F67" s="87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>
      <c r="A68" s="87"/>
      <c r="B68" s="87"/>
      <c r="C68" s="87"/>
      <c r="D68" s="87"/>
      <c r="E68" s="87"/>
      <c r="F68" s="87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>
      <c r="A69" s="87"/>
      <c r="B69" s="87"/>
      <c r="C69" s="87"/>
      <c r="D69" s="87"/>
      <c r="E69" s="87"/>
      <c r="F69" s="87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>
      <c r="A70" s="87"/>
      <c r="B70" s="87"/>
      <c r="C70" s="87"/>
      <c r="D70" s="87"/>
      <c r="E70" s="87"/>
      <c r="F70" s="87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>
      <c r="A71" s="87"/>
      <c r="B71" s="87"/>
      <c r="C71" s="87"/>
      <c r="D71" s="87"/>
      <c r="E71" s="87"/>
      <c r="F71" s="87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>
      <c r="A72" s="87"/>
      <c r="B72" s="87"/>
      <c r="C72" s="87"/>
      <c r="D72" s="87"/>
      <c r="E72" s="87"/>
      <c r="F72" s="87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>
      <c r="A73" s="87"/>
      <c r="B73" s="87"/>
      <c r="C73" s="87"/>
      <c r="D73" s="87"/>
      <c r="E73" s="87"/>
      <c r="F73" s="87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>
      <c r="A74" s="87"/>
      <c r="B74" s="87"/>
      <c r="C74" s="87"/>
      <c r="D74" s="87"/>
      <c r="E74" s="87"/>
      <c r="F74" s="87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>
      <c r="A75" s="87"/>
      <c r="B75" s="87"/>
      <c r="C75" s="87"/>
      <c r="D75" s="87"/>
      <c r="E75" s="87"/>
      <c r="F75" s="87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>
      <c r="A76" s="87"/>
      <c r="B76" s="87"/>
      <c r="C76" s="87"/>
      <c r="D76" s="87"/>
      <c r="E76" s="87"/>
      <c r="F76" s="87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>
      <c r="A77" s="87"/>
      <c r="B77" s="87"/>
      <c r="C77" s="87"/>
      <c r="D77" s="87"/>
      <c r="E77" s="87"/>
      <c r="F77" s="87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>
      <c r="A78" s="87"/>
      <c r="B78" s="87"/>
      <c r="C78" s="87"/>
      <c r="D78" s="87"/>
      <c r="E78" s="87"/>
      <c r="F78" s="87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>
      <c r="A79" s="87"/>
      <c r="B79" s="87"/>
      <c r="C79" s="87"/>
      <c r="D79" s="87"/>
      <c r="E79" s="87"/>
      <c r="F79" s="87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>
      <c r="A80" s="87"/>
      <c r="B80" s="87"/>
      <c r="C80" s="87"/>
      <c r="D80" s="87"/>
      <c r="E80" s="87"/>
      <c r="F80" s="87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>
      <c r="A81" s="87"/>
      <c r="B81" s="87"/>
      <c r="C81" s="87"/>
      <c r="D81" s="87"/>
      <c r="E81" s="87"/>
      <c r="F81" s="87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>
      <c r="A82" s="87"/>
      <c r="B82" s="87"/>
      <c r="C82" s="87"/>
      <c r="D82" s="87"/>
      <c r="E82" s="87"/>
      <c r="F82" s="87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>
      <c r="A83" s="87"/>
      <c r="B83" s="87"/>
      <c r="C83" s="87"/>
      <c r="D83" s="87"/>
      <c r="E83" s="87"/>
      <c r="F83" s="87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>
      <c r="A84" s="87"/>
      <c r="B84" s="87"/>
      <c r="C84" s="87"/>
      <c r="D84" s="87"/>
      <c r="E84" s="87"/>
      <c r="F84" s="87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>
      <c r="A85" s="87"/>
      <c r="B85" s="87"/>
      <c r="C85" s="87"/>
      <c r="D85" s="87"/>
      <c r="E85" s="87"/>
      <c r="F85" s="87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>
      <c r="A86" s="87"/>
      <c r="B86" s="87"/>
      <c r="C86" s="87"/>
      <c r="D86" s="87"/>
      <c r="E86" s="87"/>
      <c r="F86" s="87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>
      <c r="A87" s="87"/>
      <c r="B87" s="87"/>
      <c r="C87" s="87"/>
      <c r="D87" s="87"/>
      <c r="E87" s="87"/>
      <c r="F87" s="87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>
      <c r="A88" s="87"/>
      <c r="B88" s="87"/>
      <c r="C88" s="87"/>
      <c r="D88" s="87"/>
      <c r="E88" s="87"/>
      <c r="F88" s="87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>
      <c r="A89" s="87"/>
      <c r="B89" s="87"/>
      <c r="C89" s="87"/>
      <c r="D89" s="87"/>
      <c r="E89" s="87"/>
      <c r="F89" s="87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>
      <c r="A90" s="87"/>
      <c r="B90" s="87"/>
      <c r="C90" s="87"/>
      <c r="D90" s="87"/>
      <c r="E90" s="87"/>
      <c r="F90" s="87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>
      <c r="A91" s="87"/>
      <c r="B91" s="87"/>
      <c r="C91" s="87"/>
      <c r="D91" s="87"/>
      <c r="E91" s="87"/>
      <c r="F91" s="87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>
      <c r="A92" s="87"/>
      <c r="B92" s="87"/>
      <c r="C92" s="87"/>
      <c r="D92" s="87"/>
      <c r="E92" s="87"/>
      <c r="F92" s="87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>
      <c r="A93" s="87"/>
      <c r="B93" s="87"/>
      <c r="C93" s="87"/>
      <c r="D93" s="87"/>
      <c r="E93" s="87"/>
      <c r="F93" s="87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>
      <c r="A94" s="87"/>
      <c r="B94" s="87"/>
      <c r="C94" s="87"/>
      <c r="D94" s="87"/>
      <c r="E94" s="87"/>
      <c r="F94" s="87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>
      <c r="A95" s="87"/>
      <c r="B95" s="87"/>
      <c r="C95" s="87"/>
      <c r="D95" s="87"/>
      <c r="E95" s="87"/>
      <c r="F95" s="87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>
      <c r="A96" s="87"/>
      <c r="B96" s="87"/>
      <c r="C96" s="87"/>
      <c r="D96" s="87"/>
      <c r="E96" s="87"/>
      <c r="F96" s="87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>
      <c r="A97" s="87"/>
      <c r="B97" s="87"/>
      <c r="C97" s="87"/>
      <c r="D97" s="87"/>
      <c r="E97" s="87"/>
      <c r="F97" s="87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>
      <c r="A98" s="87"/>
      <c r="B98" s="87"/>
      <c r="C98" s="87"/>
      <c r="D98" s="87"/>
      <c r="E98" s="87"/>
      <c r="F98" s="87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>
      <c r="A99" s="87"/>
      <c r="B99" s="87"/>
      <c r="C99" s="87"/>
      <c r="D99" s="87"/>
      <c r="E99" s="87"/>
      <c r="F99" s="87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>
      <c r="A100" s="87"/>
      <c r="B100" s="87"/>
      <c r="C100" s="87"/>
      <c r="D100" s="87"/>
      <c r="E100" s="87"/>
      <c r="F100" s="87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>
      <c r="A101" s="87"/>
      <c r="B101" s="87"/>
      <c r="C101" s="87"/>
      <c r="D101" s="87"/>
      <c r="E101" s="87"/>
      <c r="F101" s="87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>
      <c r="A102" s="87"/>
      <c r="B102" s="87"/>
      <c r="C102" s="87"/>
      <c r="D102" s="87"/>
      <c r="E102" s="87"/>
      <c r="F102" s="87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>
      <c r="A103" s="87"/>
      <c r="B103" s="87"/>
      <c r="C103" s="87"/>
      <c r="D103" s="87"/>
      <c r="E103" s="87"/>
      <c r="F103" s="87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>
      <c r="A104" s="87"/>
      <c r="B104" s="87"/>
      <c r="C104" s="87"/>
      <c r="D104" s="87"/>
      <c r="E104" s="87"/>
      <c r="F104" s="87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>
      <c r="A105" s="87"/>
      <c r="B105" s="87"/>
      <c r="C105" s="87"/>
      <c r="D105" s="87"/>
      <c r="E105" s="87"/>
      <c r="F105" s="87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>
      <c r="A106" s="87"/>
      <c r="B106" s="87"/>
      <c r="C106" s="87"/>
      <c r="D106" s="87"/>
      <c r="E106" s="87"/>
      <c r="F106" s="87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>
      <c r="A107" s="87"/>
      <c r="B107" s="87"/>
      <c r="C107" s="87"/>
      <c r="D107" s="87"/>
      <c r="E107" s="87"/>
      <c r="F107" s="87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>
      <c r="A108" s="87"/>
      <c r="B108" s="87"/>
      <c r="C108" s="87"/>
      <c r="D108" s="87"/>
      <c r="E108" s="87"/>
      <c r="F108" s="87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>
      <c r="A109" s="87"/>
      <c r="B109" s="87"/>
      <c r="C109" s="87"/>
      <c r="D109" s="87"/>
      <c r="E109" s="87"/>
      <c r="F109" s="87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>
      <c r="A110" s="87"/>
      <c r="B110" s="87"/>
      <c r="C110" s="87"/>
      <c r="D110" s="87"/>
      <c r="E110" s="87"/>
      <c r="F110" s="87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>
      <c r="A111" s="87"/>
      <c r="B111" s="87"/>
      <c r="C111" s="87"/>
      <c r="D111" s="87"/>
      <c r="E111" s="87"/>
      <c r="F111" s="87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>
      <c r="A112" s="87"/>
      <c r="B112" s="87"/>
      <c r="C112" s="87"/>
      <c r="D112" s="87"/>
      <c r="E112" s="87"/>
      <c r="F112" s="87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>
      <c r="A113" s="87"/>
      <c r="B113" s="87"/>
      <c r="C113" s="87"/>
      <c r="D113" s="87"/>
      <c r="E113" s="87"/>
      <c r="F113" s="87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>
      <c r="A114" s="87"/>
      <c r="B114" s="87"/>
      <c r="C114" s="87"/>
      <c r="D114" s="87"/>
      <c r="E114" s="87"/>
      <c r="F114" s="87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>
      <c r="A115" s="87"/>
      <c r="B115" s="87"/>
      <c r="C115" s="87"/>
      <c r="D115" s="87"/>
      <c r="E115" s="87"/>
      <c r="F115" s="87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>
      <c r="A116" s="87"/>
      <c r="B116" s="87"/>
      <c r="C116" s="87"/>
      <c r="D116" s="87"/>
      <c r="E116" s="87"/>
      <c r="F116" s="87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>
      <c r="A117" s="87"/>
      <c r="B117" s="87"/>
      <c r="C117" s="87"/>
      <c r="D117" s="87"/>
      <c r="E117" s="87"/>
      <c r="F117" s="87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>
      <c r="A118" s="87"/>
      <c r="B118" s="87"/>
      <c r="C118" s="87"/>
      <c r="D118" s="87"/>
      <c r="E118" s="87"/>
      <c r="F118" s="87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>
      <c r="A119" s="87"/>
      <c r="B119" s="87"/>
      <c r="C119" s="87"/>
      <c r="D119" s="87"/>
      <c r="E119" s="87"/>
      <c r="F119" s="87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>
      <c r="A120" s="87"/>
      <c r="B120" s="87"/>
      <c r="C120" s="87"/>
      <c r="D120" s="87"/>
      <c r="E120" s="87"/>
      <c r="F120" s="87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>
      <c r="A121" s="87"/>
      <c r="B121" s="87"/>
      <c r="C121" s="87"/>
      <c r="D121" s="87"/>
      <c r="E121" s="87"/>
      <c r="F121" s="87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>
      <c r="A122" s="87"/>
      <c r="B122" s="87"/>
      <c r="C122" s="87"/>
      <c r="D122" s="87"/>
      <c r="E122" s="87"/>
      <c r="F122" s="87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>
      <c r="A123" s="87"/>
      <c r="B123" s="87"/>
      <c r="C123" s="87"/>
      <c r="D123" s="87"/>
      <c r="E123" s="87"/>
      <c r="F123" s="87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>
      <c r="A124" s="87"/>
      <c r="B124" s="87"/>
      <c r="C124" s="87"/>
      <c r="D124" s="87"/>
      <c r="E124" s="87"/>
      <c r="F124" s="87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>
      <c r="A125" s="87"/>
      <c r="B125" s="87"/>
      <c r="C125" s="87"/>
      <c r="D125" s="87"/>
      <c r="E125" s="87"/>
      <c r="F125" s="87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>
      <c r="A126" s="87"/>
      <c r="B126" s="87"/>
      <c r="C126" s="87"/>
      <c r="D126" s="87"/>
      <c r="E126" s="87"/>
      <c r="F126" s="87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>
      <c r="A127" s="87"/>
      <c r="B127" s="87"/>
      <c r="C127" s="87"/>
      <c r="D127" s="87"/>
      <c r="E127" s="87"/>
      <c r="F127" s="87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>
      <c r="A128" s="87"/>
      <c r="B128" s="87"/>
      <c r="C128" s="87"/>
      <c r="D128" s="87"/>
      <c r="E128" s="87"/>
      <c r="F128" s="87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>
      <c r="A129" s="87"/>
      <c r="B129" s="87"/>
      <c r="C129" s="87"/>
      <c r="D129" s="87"/>
      <c r="E129" s="87"/>
      <c r="F129" s="87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>
      <c r="A130" s="87"/>
      <c r="B130" s="87"/>
      <c r="C130" s="87"/>
      <c r="D130" s="87"/>
      <c r="E130" s="87"/>
      <c r="F130" s="87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>
      <c r="A131" s="87"/>
      <c r="B131" s="87"/>
      <c r="C131" s="87"/>
      <c r="D131" s="87"/>
      <c r="E131" s="87"/>
      <c r="F131" s="87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>
      <c r="A132" s="87"/>
      <c r="B132" s="87"/>
      <c r="C132" s="87"/>
      <c r="D132" s="87"/>
      <c r="E132" s="87"/>
      <c r="F132" s="87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>
      <c r="A133" s="87"/>
      <c r="B133" s="87"/>
      <c r="C133" s="87"/>
      <c r="D133" s="87"/>
      <c r="E133" s="87"/>
      <c r="F133" s="87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>
      <c r="A134" s="87"/>
      <c r="B134" s="87"/>
      <c r="C134" s="87"/>
      <c r="D134" s="87"/>
      <c r="E134" s="87"/>
      <c r="F134" s="87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>
      <c r="A135" s="87"/>
      <c r="B135" s="87"/>
      <c r="C135" s="87"/>
      <c r="D135" s="87"/>
      <c r="E135" s="87"/>
      <c r="F135" s="87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>
      <c r="A136" s="87"/>
      <c r="B136" s="87"/>
      <c r="C136" s="87"/>
      <c r="D136" s="87"/>
      <c r="E136" s="87"/>
      <c r="F136" s="87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>
      <c r="A137" s="87"/>
      <c r="B137" s="87"/>
      <c r="C137" s="87"/>
      <c r="D137" s="87"/>
      <c r="E137" s="87"/>
      <c r="F137" s="87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>
      <c r="A138" s="87"/>
      <c r="B138" s="87"/>
      <c r="C138" s="87"/>
      <c r="D138" s="87"/>
      <c r="E138" s="87"/>
      <c r="F138" s="87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>
      <c r="A139" s="87"/>
      <c r="B139" s="87"/>
      <c r="C139" s="87"/>
      <c r="D139" s="87"/>
      <c r="E139" s="87"/>
      <c r="F139" s="87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>
      <c r="A140" s="87"/>
      <c r="B140" s="87"/>
      <c r="C140" s="87"/>
      <c r="D140" s="87"/>
      <c r="E140" s="87"/>
      <c r="F140" s="87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>
      <c r="A141" s="87"/>
      <c r="B141" s="87"/>
      <c r="C141" s="87"/>
      <c r="D141" s="87"/>
      <c r="E141" s="87"/>
      <c r="F141" s="87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>
      <c r="A142" s="87"/>
      <c r="B142" s="87"/>
      <c r="C142" s="87"/>
      <c r="D142" s="87"/>
      <c r="E142" s="87"/>
      <c r="F142" s="87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>
      <c r="A143" s="87"/>
      <c r="B143" s="87"/>
      <c r="C143" s="87"/>
      <c r="D143" s="87"/>
      <c r="E143" s="87"/>
      <c r="F143" s="87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>
      <c r="A144" s="87"/>
      <c r="B144" s="87"/>
      <c r="C144" s="87"/>
      <c r="D144" s="87"/>
      <c r="E144" s="87"/>
      <c r="F144" s="87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>
      <c r="A145" s="87"/>
      <c r="B145" s="87"/>
      <c r="C145" s="87"/>
      <c r="D145" s="87"/>
      <c r="E145" s="87"/>
      <c r="F145" s="87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>
      <c r="A146" s="87"/>
      <c r="B146" s="87"/>
      <c r="C146" s="87"/>
      <c r="D146" s="87"/>
      <c r="E146" s="87"/>
      <c r="F146" s="87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>
      <c r="A147" s="87"/>
      <c r="B147" s="87"/>
      <c r="C147" s="87"/>
      <c r="D147" s="87"/>
      <c r="E147" s="87"/>
      <c r="F147" s="87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>
      <c r="A148" s="87"/>
      <c r="B148" s="87"/>
      <c r="C148" s="87"/>
      <c r="D148" s="87"/>
      <c r="E148" s="87"/>
      <c r="F148" s="87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>
      <c r="A149" s="87"/>
      <c r="B149" s="87"/>
      <c r="C149" s="87"/>
      <c r="D149" s="87"/>
      <c r="E149" s="87"/>
      <c r="F149" s="87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>
      <c r="A150" s="87"/>
      <c r="B150" s="87"/>
      <c r="C150" s="87"/>
      <c r="D150" s="87"/>
      <c r="E150" s="87"/>
      <c r="F150" s="87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>
      <c r="A151" s="87"/>
      <c r="B151" s="87"/>
      <c r="C151" s="87"/>
      <c r="D151" s="87"/>
      <c r="E151" s="87"/>
      <c r="F151" s="87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>
      <c r="A152" s="87"/>
      <c r="B152" s="87"/>
      <c r="C152" s="87"/>
      <c r="D152" s="87"/>
      <c r="E152" s="87"/>
      <c r="F152" s="87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>
      <c r="A153" s="87"/>
      <c r="B153" s="87"/>
      <c r="C153" s="87"/>
      <c r="D153" s="87"/>
      <c r="E153" s="87"/>
      <c r="F153" s="87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>
      <c r="A154" s="87"/>
      <c r="B154" s="87"/>
      <c r="C154" s="87"/>
      <c r="D154" s="87"/>
      <c r="E154" s="87"/>
      <c r="F154" s="87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>
      <c r="A155" s="87"/>
      <c r="B155" s="87"/>
      <c r="C155" s="87"/>
      <c r="D155" s="87"/>
      <c r="E155" s="87"/>
      <c r="F155" s="87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>
      <c r="A156" s="87"/>
      <c r="B156" s="87"/>
      <c r="C156" s="87"/>
      <c r="D156" s="87"/>
      <c r="E156" s="87"/>
      <c r="F156" s="87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>
      <c r="A157" s="87"/>
      <c r="B157" s="87"/>
      <c r="C157" s="87"/>
      <c r="D157" s="87"/>
      <c r="E157" s="87"/>
      <c r="F157" s="87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>
      <c r="A158" s="87"/>
      <c r="B158" s="87"/>
      <c r="C158" s="87"/>
      <c r="D158" s="87"/>
      <c r="E158" s="87"/>
      <c r="F158" s="87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>
      <c r="A159" s="87"/>
      <c r="B159" s="87"/>
      <c r="C159" s="87"/>
      <c r="D159" s="87"/>
      <c r="E159" s="87"/>
      <c r="F159" s="87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>
      <c r="A160" s="87"/>
      <c r="B160" s="87"/>
      <c r="C160" s="87"/>
      <c r="D160" s="87"/>
      <c r="E160" s="87"/>
      <c r="F160" s="87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>
      <c r="A161" s="87"/>
      <c r="B161" s="87"/>
      <c r="C161" s="87"/>
      <c r="D161" s="87"/>
      <c r="E161" s="87"/>
      <c r="F161" s="87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>
      <c r="A162" s="87"/>
      <c r="B162" s="87"/>
      <c r="C162" s="87"/>
      <c r="D162" s="87"/>
      <c r="E162" s="87"/>
      <c r="F162" s="87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>
      <c r="A163" s="87"/>
      <c r="B163" s="87"/>
      <c r="C163" s="87"/>
      <c r="D163" s="87"/>
      <c r="E163" s="87"/>
      <c r="F163" s="87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>
      <c r="A164" s="87"/>
      <c r="B164" s="87"/>
      <c r="C164" s="87"/>
      <c r="D164" s="87"/>
      <c r="E164" s="87"/>
      <c r="F164" s="87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>
      <c r="A165" s="87"/>
      <c r="B165" s="87"/>
      <c r="C165" s="87"/>
      <c r="D165" s="87"/>
      <c r="E165" s="87"/>
      <c r="F165" s="87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>
      <c r="A166" s="87"/>
      <c r="B166" s="87"/>
      <c r="C166" s="87"/>
      <c r="D166" s="87"/>
      <c r="E166" s="87"/>
      <c r="F166" s="87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>
      <c r="A167" s="87"/>
      <c r="B167" s="87"/>
      <c r="C167" s="87"/>
      <c r="D167" s="87"/>
      <c r="E167" s="87"/>
      <c r="F167" s="87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>
      <c r="A168" s="87"/>
      <c r="B168" s="87"/>
      <c r="C168" s="87"/>
      <c r="D168" s="87"/>
      <c r="E168" s="87"/>
      <c r="F168" s="87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>
      <c r="A169" s="87"/>
      <c r="B169" s="87"/>
      <c r="C169" s="87"/>
      <c r="D169" s="87"/>
      <c r="E169" s="87"/>
      <c r="F169" s="87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>
      <c r="A170" s="87"/>
      <c r="B170" s="87"/>
      <c r="C170" s="87"/>
      <c r="D170" s="87"/>
      <c r="E170" s="87"/>
      <c r="F170" s="87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>
      <c r="A171" s="87"/>
      <c r="B171" s="87"/>
      <c r="C171" s="87"/>
      <c r="D171" s="87"/>
      <c r="E171" s="87"/>
      <c r="F171" s="87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>
      <c r="A172" s="87"/>
      <c r="B172" s="87"/>
      <c r="C172" s="87"/>
      <c r="D172" s="87"/>
      <c r="E172" s="87"/>
      <c r="F172" s="87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>
      <c r="A173" s="87"/>
      <c r="B173" s="87"/>
      <c r="C173" s="87"/>
      <c r="D173" s="87"/>
      <c r="E173" s="87"/>
      <c r="F173" s="87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>
      <c r="A174" s="87"/>
      <c r="B174" s="87"/>
      <c r="C174" s="87"/>
      <c r="D174" s="87"/>
      <c r="E174" s="87"/>
      <c r="F174" s="87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>
      <c r="A175" s="87"/>
      <c r="B175" s="87"/>
      <c r="C175" s="87"/>
      <c r="D175" s="87"/>
      <c r="E175" s="87"/>
      <c r="F175" s="87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>
      <c r="A176" s="87"/>
      <c r="B176" s="87"/>
      <c r="C176" s="87"/>
      <c r="D176" s="87"/>
      <c r="E176" s="87"/>
      <c r="F176" s="87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>
      <c r="A177" s="87"/>
      <c r="B177" s="87"/>
      <c r="C177" s="87"/>
      <c r="D177" s="87"/>
      <c r="E177" s="87"/>
      <c r="F177" s="87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>
      <c r="A178" s="87"/>
      <c r="B178" s="87"/>
      <c r="C178" s="87"/>
      <c r="D178" s="87"/>
      <c r="E178" s="87"/>
      <c r="F178" s="87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>
      <c r="A179" s="87"/>
      <c r="B179" s="87"/>
      <c r="C179" s="87"/>
      <c r="D179" s="87"/>
      <c r="E179" s="87"/>
      <c r="F179" s="87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>
      <c r="A180" s="87"/>
      <c r="B180" s="87"/>
      <c r="C180" s="87"/>
      <c r="D180" s="87"/>
      <c r="E180" s="87"/>
      <c r="F180" s="87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>
      <c r="A181" s="87"/>
      <c r="B181" s="87"/>
      <c r="C181" s="87"/>
      <c r="D181" s="87"/>
      <c r="E181" s="87"/>
      <c r="F181" s="87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>
      <c r="A182" s="87"/>
      <c r="B182" s="87"/>
      <c r="C182" s="87"/>
      <c r="D182" s="87"/>
      <c r="E182" s="87"/>
      <c r="F182" s="87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>
      <c r="A183" s="87"/>
      <c r="B183" s="87"/>
      <c r="C183" s="87"/>
      <c r="D183" s="87"/>
      <c r="E183" s="87"/>
      <c r="F183" s="87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>
      <c r="A184" s="87"/>
      <c r="B184" s="87"/>
      <c r="C184" s="87"/>
      <c r="D184" s="87"/>
      <c r="E184" s="87"/>
      <c r="F184" s="87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>
      <c r="A185" s="87"/>
      <c r="B185" s="87"/>
      <c r="C185" s="87"/>
      <c r="D185" s="87"/>
      <c r="E185" s="87"/>
      <c r="F185" s="87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>
      <c r="A186" s="87"/>
      <c r="B186" s="87"/>
      <c r="C186" s="87"/>
      <c r="D186" s="87"/>
      <c r="E186" s="87"/>
      <c r="F186" s="87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>
      <c r="A187" s="87"/>
      <c r="B187" s="87"/>
      <c r="C187" s="87"/>
      <c r="D187" s="87"/>
      <c r="E187" s="87"/>
      <c r="F187" s="87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>
      <c r="A188" s="87"/>
      <c r="B188" s="87"/>
      <c r="C188" s="87"/>
      <c r="D188" s="87"/>
      <c r="E188" s="87"/>
      <c r="F188" s="87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>
      <c r="A189" s="87"/>
      <c r="B189" s="87"/>
      <c r="C189" s="87"/>
      <c r="D189" s="87"/>
      <c r="E189" s="87"/>
      <c r="F189" s="87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>
      <c r="A190" s="87"/>
      <c r="B190" s="87"/>
      <c r="C190" s="87"/>
      <c r="D190" s="87"/>
      <c r="E190" s="87"/>
      <c r="F190" s="87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>
      <c r="A191" s="87"/>
      <c r="B191" s="87"/>
      <c r="C191" s="87"/>
      <c r="D191" s="87"/>
      <c r="E191" s="87"/>
      <c r="F191" s="87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>
      <c r="A192" s="87"/>
      <c r="B192" s="87"/>
      <c r="C192" s="87"/>
      <c r="D192" s="87"/>
      <c r="E192" s="87"/>
      <c r="F192" s="87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>
      <c r="A193" s="87"/>
      <c r="B193" s="87"/>
      <c r="C193" s="87"/>
      <c r="D193" s="87"/>
      <c r="E193" s="87"/>
      <c r="F193" s="87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>
      <c r="A194" s="87"/>
      <c r="B194" s="87"/>
      <c r="C194" s="87"/>
      <c r="D194" s="87"/>
      <c r="E194" s="87"/>
      <c r="F194" s="87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>
      <c r="A195" s="87"/>
      <c r="B195" s="87"/>
      <c r="C195" s="87"/>
      <c r="D195" s="87"/>
      <c r="E195" s="87"/>
      <c r="F195" s="87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>
      <c r="A196" s="87"/>
      <c r="B196" s="87"/>
      <c r="C196" s="87"/>
      <c r="D196" s="87"/>
      <c r="E196" s="87"/>
      <c r="F196" s="87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>
      <c r="A197" s="87"/>
      <c r="B197" s="87"/>
      <c r="C197" s="87"/>
      <c r="D197" s="87"/>
      <c r="E197" s="87"/>
      <c r="F197" s="87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>
      <c r="A198" s="87"/>
      <c r="B198" s="87"/>
      <c r="C198" s="87"/>
      <c r="D198" s="87"/>
      <c r="E198" s="87"/>
      <c r="F198" s="87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>
      <c r="A199" s="87"/>
      <c r="B199" s="87"/>
      <c r="C199" s="87"/>
      <c r="D199" s="87"/>
      <c r="E199" s="87"/>
      <c r="F199" s="87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>
      <c r="A200" s="87"/>
      <c r="B200" s="87"/>
      <c r="C200" s="87"/>
      <c r="D200" s="87"/>
      <c r="E200" s="87"/>
      <c r="F200" s="87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>
      <c r="A201" s="87"/>
      <c r="B201" s="87"/>
      <c r="C201" s="87"/>
      <c r="D201" s="87"/>
      <c r="E201" s="87"/>
      <c r="F201" s="87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>
      <c r="A202" s="87"/>
      <c r="B202" s="87"/>
      <c r="C202" s="87"/>
      <c r="D202" s="87"/>
      <c r="E202" s="87"/>
      <c r="F202" s="87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>
      <c r="A203" s="87"/>
      <c r="B203" s="87"/>
      <c r="C203" s="87"/>
      <c r="D203" s="87"/>
      <c r="E203" s="87"/>
      <c r="F203" s="87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>
      <c r="A204" s="87"/>
      <c r="B204" s="87"/>
      <c r="C204" s="87"/>
      <c r="D204" s="87"/>
      <c r="E204" s="87"/>
      <c r="F204" s="87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>
      <c r="A205" s="87"/>
      <c r="B205" s="87"/>
      <c r="C205" s="87"/>
      <c r="D205" s="87"/>
      <c r="E205" s="87"/>
      <c r="F205" s="87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>
      <c r="A206" s="87"/>
      <c r="B206" s="87"/>
      <c r="C206" s="87"/>
      <c r="D206" s="87"/>
      <c r="E206" s="87"/>
      <c r="F206" s="87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>
      <c r="A207" s="87"/>
      <c r="B207" s="87"/>
      <c r="C207" s="87"/>
      <c r="D207" s="87"/>
      <c r="E207" s="87"/>
      <c r="F207" s="87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>
      <c r="A208" s="87"/>
      <c r="B208" s="87"/>
      <c r="C208" s="87"/>
      <c r="D208" s="87"/>
      <c r="E208" s="87"/>
      <c r="F208" s="87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>
      <c r="A209" s="87"/>
      <c r="B209" s="87"/>
      <c r="C209" s="87"/>
      <c r="D209" s="87"/>
      <c r="E209" s="87"/>
      <c r="F209" s="87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>
      <c r="A210" s="87"/>
      <c r="B210" s="87"/>
      <c r="C210" s="87"/>
      <c r="D210" s="87"/>
      <c r="E210" s="87"/>
      <c r="F210" s="87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>
      <c r="A211" s="87"/>
      <c r="B211" s="87"/>
      <c r="C211" s="87"/>
      <c r="D211" s="87"/>
      <c r="E211" s="87"/>
      <c r="F211" s="87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>
      <c r="A212" s="87"/>
      <c r="B212" s="87"/>
      <c r="C212" s="87"/>
      <c r="D212" s="87"/>
      <c r="E212" s="87"/>
      <c r="F212" s="87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>
      <c r="A213" s="87"/>
      <c r="B213" s="87"/>
      <c r="C213" s="87"/>
      <c r="D213" s="87"/>
      <c r="E213" s="87"/>
      <c r="F213" s="87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>
      <c r="A214" s="87"/>
      <c r="B214" s="87"/>
      <c r="C214" s="87"/>
      <c r="D214" s="87"/>
      <c r="E214" s="87"/>
      <c r="F214" s="87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>
      <c r="A215" s="87"/>
      <c r="B215" s="87"/>
      <c r="C215" s="87"/>
      <c r="D215" s="87"/>
      <c r="E215" s="87"/>
      <c r="F215" s="87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>
      <c r="A216" s="87"/>
      <c r="B216" s="87"/>
      <c r="C216" s="87"/>
      <c r="D216" s="87"/>
      <c r="E216" s="87"/>
      <c r="F216" s="87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>
      <c r="A217" s="87"/>
      <c r="B217" s="87"/>
      <c r="C217" s="87"/>
      <c r="D217" s="87"/>
      <c r="E217" s="87"/>
      <c r="F217" s="87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>
      <c r="A218" s="87"/>
      <c r="B218" s="87"/>
      <c r="C218" s="87"/>
      <c r="D218" s="87"/>
      <c r="E218" s="87"/>
      <c r="F218" s="87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>
      <c r="A219" s="87"/>
      <c r="B219" s="87"/>
      <c r="C219" s="87"/>
      <c r="D219" s="87"/>
      <c r="E219" s="87"/>
      <c r="F219" s="87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>
      <c r="A220" s="87"/>
      <c r="B220" s="87"/>
      <c r="C220" s="87"/>
      <c r="D220" s="87"/>
      <c r="E220" s="87"/>
      <c r="F220" s="87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>
      <c r="A221" s="87"/>
      <c r="B221" s="87"/>
      <c r="C221" s="87"/>
      <c r="D221" s="87"/>
      <c r="E221" s="87"/>
      <c r="F221" s="87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>
      <c r="A222" s="87"/>
      <c r="B222" s="87"/>
      <c r="C222" s="87"/>
      <c r="D222" s="87"/>
      <c r="E222" s="87"/>
      <c r="F222" s="87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>
      <c r="A223" s="87"/>
      <c r="B223" s="87"/>
      <c r="C223" s="87"/>
      <c r="D223" s="87"/>
      <c r="E223" s="87"/>
      <c r="F223" s="87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>
      <c r="A224" s="87"/>
      <c r="B224" s="87"/>
      <c r="C224" s="87"/>
      <c r="D224" s="87"/>
      <c r="E224" s="87"/>
      <c r="F224" s="87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>
      <c r="A225" s="87"/>
      <c r="B225" s="87"/>
      <c r="C225" s="87"/>
      <c r="D225" s="87"/>
      <c r="E225" s="87"/>
      <c r="F225" s="87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>
      <c r="A226" s="87"/>
      <c r="B226" s="87"/>
      <c r="C226" s="87"/>
      <c r="D226" s="87"/>
      <c r="E226" s="87"/>
      <c r="F226" s="87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>
      <c r="A227" s="87"/>
      <c r="B227" s="87"/>
      <c r="C227" s="87"/>
      <c r="D227" s="87"/>
      <c r="E227" s="87"/>
      <c r="F227" s="87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>
      <c r="A228" s="87"/>
      <c r="B228" s="87"/>
      <c r="C228" s="87"/>
      <c r="D228" s="87"/>
      <c r="E228" s="87"/>
      <c r="F228" s="87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>
      <c r="A229" s="87"/>
      <c r="B229" s="87"/>
      <c r="C229" s="87"/>
      <c r="D229" s="87"/>
      <c r="E229" s="87"/>
      <c r="F229" s="87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>
      <c r="A230" s="87"/>
      <c r="B230" s="87"/>
      <c r="C230" s="87"/>
      <c r="D230" s="87"/>
      <c r="E230" s="87"/>
      <c r="F230" s="87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>
      <c r="A231" s="87"/>
      <c r="B231" s="87"/>
      <c r="C231" s="87"/>
      <c r="D231" s="87"/>
      <c r="E231" s="87"/>
      <c r="F231" s="87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>
      <c r="A232" s="87"/>
      <c r="B232" s="87"/>
      <c r="C232" s="87"/>
      <c r="D232" s="87"/>
      <c r="E232" s="87"/>
      <c r="F232" s="87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>
      <c r="A233" s="87"/>
      <c r="B233" s="87"/>
      <c r="C233" s="87"/>
      <c r="D233" s="87"/>
      <c r="E233" s="87"/>
      <c r="F233" s="87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>
      <c r="A234" s="87"/>
      <c r="B234" s="87"/>
      <c r="C234" s="87"/>
      <c r="D234" s="87"/>
      <c r="E234" s="87"/>
      <c r="F234" s="87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>
      <c r="A235" s="87"/>
      <c r="B235" s="87"/>
      <c r="C235" s="87"/>
      <c r="D235" s="87"/>
      <c r="E235" s="87"/>
      <c r="F235" s="87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>
      <c r="A236" s="87"/>
      <c r="B236" s="87"/>
      <c r="C236" s="87"/>
      <c r="D236" s="87"/>
      <c r="E236" s="87"/>
      <c r="F236" s="87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>
      <c r="A237" s="87"/>
      <c r="B237" s="87"/>
      <c r="C237" s="87"/>
      <c r="D237" s="87"/>
      <c r="E237" s="87"/>
      <c r="F237" s="87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>
      <c r="A238" s="87"/>
      <c r="B238" s="87"/>
      <c r="C238" s="87"/>
      <c r="D238" s="87"/>
      <c r="E238" s="87"/>
      <c r="F238" s="87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>
      <c r="A239" s="87"/>
      <c r="B239" s="87"/>
      <c r="C239" s="87"/>
      <c r="D239" s="87"/>
      <c r="E239" s="87"/>
      <c r="F239" s="87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>
      <c r="A240" s="87"/>
      <c r="B240" s="87"/>
      <c r="C240" s="87"/>
      <c r="D240" s="87"/>
      <c r="E240" s="87"/>
      <c r="F240" s="87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>
      <c r="A241" s="87"/>
      <c r="B241" s="87"/>
      <c r="C241" s="87"/>
      <c r="D241" s="87"/>
      <c r="E241" s="87"/>
      <c r="F241" s="87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>
      <c r="A242" s="87"/>
      <c r="B242" s="87"/>
      <c r="C242" s="87"/>
      <c r="D242" s="87"/>
      <c r="E242" s="87"/>
      <c r="F242" s="87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>
      <c r="A243" s="87"/>
      <c r="B243" s="87"/>
      <c r="C243" s="87"/>
      <c r="D243" s="87"/>
      <c r="E243" s="87"/>
      <c r="F243" s="87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>
      <c r="A244" s="87"/>
      <c r="B244" s="87"/>
      <c r="C244" s="87"/>
      <c r="D244" s="87"/>
      <c r="E244" s="87"/>
      <c r="F244" s="87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>
      <c r="A245" s="87"/>
      <c r="B245" s="87"/>
      <c r="C245" s="87"/>
      <c r="D245" s="87"/>
      <c r="E245" s="87"/>
      <c r="F245" s="87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>
      <c r="A246" s="87"/>
      <c r="B246" s="87"/>
      <c r="C246" s="87"/>
      <c r="D246" s="87"/>
      <c r="E246" s="87"/>
      <c r="F246" s="87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>
      <c r="A247" s="87"/>
      <c r="B247" s="87"/>
      <c r="C247" s="87"/>
      <c r="D247" s="87"/>
      <c r="E247" s="87"/>
      <c r="F247" s="87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>
      <c r="A248" s="87"/>
      <c r="B248" s="87"/>
      <c r="C248" s="87"/>
      <c r="D248" s="87"/>
      <c r="E248" s="87"/>
      <c r="F248" s="87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>
      <c r="A249" s="87"/>
      <c r="B249" s="87"/>
      <c r="C249" s="87"/>
      <c r="D249" s="87"/>
      <c r="E249" s="87"/>
      <c r="F249" s="87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>
      <c r="A250" s="87"/>
      <c r="B250" s="87"/>
      <c r="C250" s="87"/>
      <c r="D250" s="87"/>
      <c r="E250" s="87"/>
      <c r="F250" s="87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>
      <c r="A251" s="87"/>
      <c r="B251" s="87"/>
      <c r="C251" s="87"/>
      <c r="D251" s="87"/>
      <c r="E251" s="87"/>
      <c r="F251" s="87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>
      <c r="A252" s="87"/>
      <c r="B252" s="87"/>
      <c r="C252" s="87"/>
      <c r="D252" s="87"/>
      <c r="E252" s="87"/>
      <c r="F252" s="87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>
      <c r="A253" s="87"/>
      <c r="B253" s="87"/>
      <c r="C253" s="87"/>
      <c r="D253" s="87"/>
      <c r="E253" s="87"/>
      <c r="F253" s="87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>
      <c r="A254" s="87"/>
      <c r="B254" s="87"/>
      <c r="C254" s="87"/>
      <c r="D254" s="87"/>
      <c r="E254" s="87"/>
      <c r="F254" s="87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>
      <c r="A255" s="87"/>
      <c r="B255" s="87"/>
      <c r="C255" s="87"/>
      <c r="D255" s="87"/>
      <c r="E255" s="87"/>
      <c r="F255" s="87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>
      <c r="A256" s="87"/>
      <c r="B256" s="87"/>
      <c r="C256" s="87"/>
      <c r="D256" s="87"/>
      <c r="E256" s="87"/>
      <c r="F256" s="87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>
      <c r="A257" s="87"/>
      <c r="B257" s="87"/>
      <c r="C257" s="87"/>
      <c r="D257" s="87"/>
      <c r="E257" s="87"/>
      <c r="F257" s="87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>
      <c r="A258" s="87"/>
      <c r="B258" s="87"/>
      <c r="C258" s="87"/>
      <c r="D258" s="87"/>
      <c r="E258" s="87"/>
      <c r="F258" s="87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>
      <c r="A259" s="87"/>
      <c r="B259" s="87"/>
      <c r="C259" s="87"/>
      <c r="D259" s="87"/>
      <c r="E259" s="87"/>
      <c r="F259" s="87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>
      <c r="A260" s="87"/>
      <c r="B260" s="87"/>
      <c r="C260" s="87"/>
      <c r="D260" s="87"/>
      <c r="E260" s="87"/>
      <c r="F260" s="87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>
      <c r="A261" s="87"/>
      <c r="B261" s="87"/>
      <c r="C261" s="87"/>
      <c r="D261" s="87"/>
      <c r="E261" s="87"/>
      <c r="F261" s="87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>
      <c r="A262" s="87"/>
      <c r="B262" s="87"/>
      <c r="C262" s="87"/>
      <c r="D262" s="87"/>
      <c r="E262" s="87"/>
      <c r="F262" s="87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>
      <c r="A263" s="87"/>
      <c r="B263" s="87"/>
      <c r="C263" s="87"/>
      <c r="D263" s="87"/>
      <c r="E263" s="87"/>
      <c r="F263" s="87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>
      <c r="A264" s="87"/>
      <c r="B264" s="87"/>
      <c r="C264" s="87"/>
      <c r="D264" s="87"/>
      <c r="E264" s="87"/>
      <c r="F264" s="87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>
      <c r="A265" s="87"/>
      <c r="B265" s="87"/>
      <c r="C265" s="87"/>
      <c r="D265" s="87"/>
      <c r="E265" s="87"/>
      <c r="F265" s="87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>
      <c r="A266" s="87"/>
      <c r="B266" s="87"/>
      <c r="C266" s="87"/>
      <c r="D266" s="87"/>
      <c r="E266" s="87"/>
      <c r="F266" s="87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>
      <c r="A267" s="87"/>
      <c r="B267" s="87"/>
      <c r="C267" s="87"/>
      <c r="D267" s="87"/>
      <c r="E267" s="87"/>
      <c r="F267" s="87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>
      <c r="A268" s="87"/>
      <c r="B268" s="87"/>
      <c r="C268" s="87"/>
      <c r="D268" s="87"/>
      <c r="E268" s="87"/>
      <c r="F268" s="87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>
      <c r="A269" s="87"/>
      <c r="B269" s="87"/>
      <c r="C269" s="87"/>
      <c r="D269" s="87"/>
      <c r="E269" s="87"/>
      <c r="F269" s="87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>
      <c r="A270" s="87"/>
      <c r="B270" s="87"/>
      <c r="C270" s="87"/>
      <c r="D270" s="87"/>
      <c r="E270" s="87"/>
      <c r="F270" s="87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>
      <c r="A271" s="87"/>
      <c r="B271" s="87"/>
      <c r="C271" s="87"/>
      <c r="D271" s="87"/>
      <c r="E271" s="87"/>
      <c r="F271" s="87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>
      <c r="A272" s="87"/>
      <c r="B272" s="87"/>
      <c r="C272" s="87"/>
      <c r="D272" s="87"/>
      <c r="E272" s="87"/>
      <c r="F272" s="87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>
      <c r="A273" s="87"/>
      <c r="B273" s="87"/>
      <c r="C273" s="87"/>
      <c r="D273" s="87"/>
      <c r="E273" s="87"/>
      <c r="F273" s="87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>
      <c r="A274" s="87"/>
      <c r="B274" s="87"/>
      <c r="C274" s="87"/>
      <c r="D274" s="87"/>
      <c r="E274" s="87"/>
      <c r="F274" s="87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>
      <c r="A275" s="87"/>
      <c r="B275" s="87"/>
      <c r="C275" s="87"/>
      <c r="D275" s="87"/>
      <c r="E275" s="87"/>
      <c r="F275" s="87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>
      <c r="A276" s="87"/>
      <c r="B276" s="87"/>
      <c r="C276" s="87"/>
      <c r="D276" s="87"/>
      <c r="E276" s="87"/>
      <c r="F276" s="87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>
      <c r="A277" s="87"/>
      <c r="B277" s="87"/>
      <c r="C277" s="87"/>
      <c r="D277" s="87"/>
      <c r="E277" s="87"/>
      <c r="F277" s="87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>
      <c r="A278" s="87"/>
      <c r="B278" s="87"/>
      <c r="C278" s="87"/>
      <c r="D278" s="87"/>
      <c r="E278" s="87"/>
      <c r="F278" s="87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>
      <c r="A279" s="87"/>
      <c r="B279" s="87"/>
      <c r="C279" s="87"/>
      <c r="D279" s="87"/>
      <c r="E279" s="87"/>
      <c r="F279" s="87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>
      <c r="A280" s="87"/>
      <c r="B280" s="87"/>
      <c r="C280" s="87"/>
      <c r="D280" s="87"/>
      <c r="E280" s="87"/>
      <c r="F280" s="87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>
      <c r="A281" s="87"/>
      <c r="B281" s="87"/>
      <c r="C281" s="87"/>
      <c r="D281" s="87"/>
      <c r="E281" s="87"/>
      <c r="F281" s="87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>
      <c r="A282" s="87"/>
      <c r="B282" s="87"/>
      <c r="C282" s="87"/>
      <c r="D282" s="87"/>
      <c r="E282" s="87"/>
      <c r="F282" s="87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>
      <c r="A283" s="87"/>
      <c r="B283" s="87"/>
      <c r="C283" s="87"/>
      <c r="D283" s="87"/>
      <c r="E283" s="87"/>
      <c r="F283" s="87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>
      <c r="A284" s="87"/>
      <c r="B284" s="87"/>
      <c r="C284" s="87"/>
      <c r="D284" s="87"/>
      <c r="E284" s="87"/>
      <c r="F284" s="87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>
      <c r="A285" s="87"/>
      <c r="B285" s="87"/>
      <c r="C285" s="87"/>
      <c r="D285" s="87"/>
      <c r="E285" s="87"/>
      <c r="F285" s="87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>
      <c r="A286" s="87"/>
      <c r="B286" s="87"/>
      <c r="C286" s="87"/>
      <c r="D286" s="87"/>
      <c r="E286" s="87"/>
      <c r="F286" s="87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>
      <c r="A287" s="87"/>
      <c r="B287" s="87"/>
      <c r="C287" s="87"/>
      <c r="D287" s="87"/>
      <c r="E287" s="87"/>
      <c r="F287" s="87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>
      <c r="A288" s="87"/>
      <c r="B288" s="87"/>
      <c r="C288" s="87"/>
      <c r="D288" s="87"/>
      <c r="E288" s="87"/>
      <c r="F288" s="87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>
      <c r="A289" s="87"/>
      <c r="B289" s="87"/>
      <c r="C289" s="87"/>
      <c r="D289" s="87"/>
      <c r="E289" s="87"/>
      <c r="F289" s="87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>
      <c r="A290" s="87"/>
      <c r="B290" s="87"/>
      <c r="C290" s="87"/>
      <c r="D290" s="87"/>
      <c r="E290" s="87"/>
      <c r="F290" s="87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>
      <c r="A291" s="87"/>
      <c r="B291" s="87"/>
      <c r="C291" s="87"/>
      <c r="D291" s="87"/>
      <c r="E291" s="87"/>
      <c r="F291" s="87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>
      <c r="A292" s="87"/>
      <c r="B292" s="87"/>
      <c r="C292" s="87"/>
      <c r="D292" s="87"/>
      <c r="E292" s="87"/>
      <c r="F292" s="87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>
      <c r="A293" s="87"/>
      <c r="B293" s="87"/>
      <c r="C293" s="87"/>
      <c r="D293" s="87"/>
      <c r="E293" s="87"/>
      <c r="F293" s="87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>
      <c r="A294" s="87"/>
      <c r="B294" s="87"/>
      <c r="C294" s="87"/>
      <c r="D294" s="87"/>
      <c r="E294" s="87"/>
      <c r="F294" s="87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>
      <c r="A295" s="87"/>
      <c r="B295" s="87"/>
      <c r="C295" s="87"/>
      <c r="D295" s="87"/>
      <c r="E295" s="87"/>
      <c r="F295" s="87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>
      <c r="A296" s="87"/>
      <c r="B296" s="87"/>
      <c r="C296" s="87"/>
      <c r="D296" s="87"/>
      <c r="E296" s="87"/>
      <c r="F296" s="87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>
      <c r="A297" s="87"/>
      <c r="B297" s="87"/>
      <c r="C297" s="87"/>
      <c r="D297" s="87"/>
      <c r="E297" s="87"/>
      <c r="F297" s="87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>
      <c r="A298" s="87"/>
      <c r="B298" s="87"/>
      <c r="C298" s="87"/>
      <c r="D298" s="87"/>
      <c r="E298" s="87"/>
      <c r="F298" s="87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>
      <c r="A299" s="87"/>
      <c r="B299" s="87"/>
      <c r="C299" s="87"/>
      <c r="D299" s="87"/>
      <c r="E299" s="87"/>
      <c r="F299" s="87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>
      <c r="A300" s="87"/>
      <c r="B300" s="87"/>
      <c r="C300" s="87"/>
      <c r="D300" s="87"/>
      <c r="E300" s="87"/>
      <c r="F300" s="87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>
      <c r="A301" s="87"/>
      <c r="B301" s="87"/>
      <c r="C301" s="87"/>
      <c r="D301" s="87"/>
      <c r="E301" s="87"/>
      <c r="F301" s="87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>
      <c r="A302" s="87"/>
      <c r="B302" s="87"/>
      <c r="C302" s="87"/>
      <c r="D302" s="87"/>
      <c r="E302" s="87"/>
      <c r="F302" s="87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>
      <c r="A303" s="87"/>
      <c r="B303" s="87"/>
      <c r="C303" s="87"/>
      <c r="D303" s="87"/>
      <c r="E303" s="87"/>
      <c r="F303" s="87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>
      <c r="A304" s="87"/>
      <c r="B304" s="87"/>
      <c r="C304" s="87"/>
      <c r="D304" s="87"/>
      <c r="E304" s="87"/>
      <c r="F304" s="87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>
      <c r="A305" s="87"/>
      <c r="B305" s="87"/>
      <c r="C305" s="87"/>
      <c r="D305" s="87"/>
      <c r="E305" s="87"/>
      <c r="F305" s="87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>
      <c r="A306" s="87"/>
      <c r="B306" s="87"/>
      <c r="C306" s="87"/>
      <c r="D306" s="87"/>
      <c r="E306" s="87"/>
      <c r="F306" s="87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>
      <c r="A307" s="87"/>
      <c r="B307" s="87"/>
      <c r="C307" s="87"/>
      <c r="D307" s="87"/>
      <c r="E307" s="87"/>
      <c r="F307" s="87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>
      <c r="A308" s="87"/>
      <c r="B308" s="87"/>
      <c r="C308" s="87"/>
      <c r="D308" s="87"/>
      <c r="E308" s="87"/>
      <c r="F308" s="87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>
      <c r="A309" s="87"/>
      <c r="B309" s="87"/>
      <c r="C309" s="87"/>
      <c r="D309" s="87"/>
      <c r="E309" s="87"/>
      <c r="F309" s="87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>
      <c r="A310" s="87"/>
      <c r="B310" s="87"/>
      <c r="C310" s="87"/>
      <c r="D310" s="87"/>
      <c r="E310" s="87"/>
      <c r="F310" s="87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>
      <c r="A311" s="87"/>
      <c r="B311" s="87"/>
      <c r="C311" s="87"/>
      <c r="D311" s="87"/>
      <c r="E311" s="87"/>
      <c r="F311" s="87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>
      <c r="A312" s="87"/>
      <c r="B312" s="87"/>
      <c r="C312" s="87"/>
      <c r="D312" s="87"/>
      <c r="E312" s="87"/>
      <c r="F312" s="87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>
      <c r="A313" s="87"/>
      <c r="B313" s="87"/>
      <c r="C313" s="87"/>
      <c r="D313" s="87"/>
      <c r="E313" s="87"/>
      <c r="F313" s="87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>
      <c r="A314" s="87"/>
      <c r="B314" s="87"/>
      <c r="C314" s="87"/>
      <c r="D314" s="87"/>
      <c r="E314" s="87"/>
      <c r="F314" s="87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>
      <c r="A315" s="87"/>
      <c r="B315" s="87"/>
      <c r="C315" s="87"/>
      <c r="D315" s="87"/>
      <c r="E315" s="87"/>
      <c r="F315" s="87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>
      <c r="A316" s="87"/>
      <c r="B316" s="87"/>
      <c r="C316" s="87"/>
      <c r="D316" s="87"/>
      <c r="E316" s="87"/>
      <c r="F316" s="87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>
      <c r="A317" s="87"/>
      <c r="B317" s="87"/>
      <c r="C317" s="87"/>
      <c r="D317" s="87"/>
      <c r="E317" s="87"/>
      <c r="F317" s="87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>
      <c r="A318" s="87"/>
      <c r="B318" s="87"/>
      <c r="C318" s="87"/>
      <c r="D318" s="87"/>
      <c r="E318" s="87"/>
      <c r="F318" s="87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>
      <c r="A319" s="87"/>
      <c r="B319" s="87"/>
      <c r="C319" s="87"/>
      <c r="D319" s="87"/>
      <c r="E319" s="87"/>
      <c r="F319" s="87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>
      <c r="A320" s="87"/>
      <c r="B320" s="87"/>
      <c r="C320" s="87"/>
      <c r="D320" s="87"/>
      <c r="E320" s="87"/>
      <c r="F320" s="87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>
      <c r="A321" s="87"/>
      <c r="B321" s="87"/>
      <c r="C321" s="87"/>
      <c r="D321" s="87"/>
      <c r="E321" s="87"/>
      <c r="F321" s="87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>
      <c r="A322" s="87"/>
      <c r="B322" s="87"/>
      <c r="C322" s="87"/>
      <c r="D322" s="87"/>
      <c r="E322" s="87"/>
      <c r="F322" s="87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>
      <c r="A323" s="87"/>
      <c r="B323" s="87"/>
      <c r="C323" s="87"/>
      <c r="D323" s="87"/>
      <c r="E323" s="87"/>
      <c r="F323" s="87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>
      <c r="A324" s="87"/>
      <c r="B324" s="87"/>
      <c r="C324" s="87"/>
      <c r="D324" s="87"/>
      <c r="E324" s="87"/>
      <c r="F324" s="87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>
      <c r="A325" s="87"/>
      <c r="B325" s="87"/>
      <c r="C325" s="87"/>
      <c r="D325" s="87"/>
      <c r="E325" s="87"/>
      <c r="F325" s="87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>
      <c r="A326" s="87"/>
      <c r="B326" s="87"/>
      <c r="C326" s="87"/>
      <c r="D326" s="87"/>
      <c r="E326" s="87"/>
      <c r="F326" s="87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>
      <c r="A327" s="87"/>
      <c r="B327" s="87"/>
      <c r="C327" s="87"/>
      <c r="D327" s="87"/>
      <c r="E327" s="87"/>
      <c r="F327" s="87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>
      <c r="A328" s="87"/>
      <c r="B328" s="87"/>
      <c r="C328" s="87"/>
      <c r="D328" s="87"/>
      <c r="E328" s="87"/>
      <c r="F328" s="87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>
      <c r="A329" s="87"/>
      <c r="B329" s="87"/>
      <c r="C329" s="87"/>
      <c r="D329" s="87"/>
      <c r="E329" s="87"/>
      <c r="F329" s="87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>
      <c r="A330" s="87"/>
      <c r="B330" s="87"/>
      <c r="C330" s="87"/>
      <c r="D330" s="87"/>
      <c r="E330" s="87"/>
      <c r="F330" s="87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>
      <c r="A331" s="87"/>
      <c r="B331" s="87"/>
      <c r="C331" s="87"/>
      <c r="D331" s="87"/>
      <c r="E331" s="87"/>
      <c r="F331" s="87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>
      <c r="A332" s="87"/>
      <c r="B332" s="87"/>
      <c r="C332" s="87"/>
      <c r="D332" s="87"/>
      <c r="E332" s="87"/>
      <c r="F332" s="87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>
      <c r="A333" s="87"/>
      <c r="B333" s="87"/>
      <c r="C333" s="87"/>
      <c r="D333" s="87"/>
      <c r="E333" s="87"/>
      <c r="F333" s="87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>
      <c r="A334" s="87"/>
      <c r="B334" s="87"/>
      <c r="C334" s="87"/>
      <c r="D334" s="87"/>
      <c r="E334" s="87"/>
      <c r="F334" s="87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>
      <c r="A335" s="87"/>
      <c r="B335" s="87"/>
      <c r="C335" s="87"/>
      <c r="D335" s="87"/>
      <c r="E335" s="87"/>
      <c r="F335" s="87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>
      <c r="A336" s="87"/>
      <c r="B336" s="87"/>
      <c r="C336" s="87"/>
      <c r="D336" s="87"/>
      <c r="E336" s="87"/>
      <c r="F336" s="87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>
      <c r="A337" s="87"/>
      <c r="B337" s="87"/>
      <c r="C337" s="87"/>
      <c r="D337" s="87"/>
      <c r="E337" s="87"/>
      <c r="F337" s="87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>
      <c r="A338" s="87"/>
      <c r="B338" s="87"/>
      <c r="C338" s="87"/>
      <c r="D338" s="87"/>
      <c r="E338" s="87"/>
      <c r="F338" s="87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>
      <c r="A339" s="87"/>
      <c r="B339" s="87"/>
      <c r="C339" s="87"/>
      <c r="D339" s="87"/>
      <c r="E339" s="87"/>
      <c r="F339" s="87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>
      <c r="A340" s="87"/>
      <c r="B340" s="87"/>
      <c r="C340" s="87"/>
      <c r="D340" s="87"/>
      <c r="E340" s="87"/>
      <c r="F340" s="87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>
      <c r="A341" s="87"/>
      <c r="B341" s="87"/>
      <c r="C341" s="87"/>
      <c r="D341" s="87"/>
      <c r="E341" s="87"/>
      <c r="F341" s="87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>
      <c r="A342" s="87"/>
      <c r="B342" s="87"/>
      <c r="C342" s="87"/>
      <c r="D342" s="87"/>
      <c r="E342" s="87"/>
      <c r="F342" s="87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>
      <c r="A343" s="87"/>
      <c r="B343" s="87"/>
      <c r="C343" s="87"/>
      <c r="D343" s="87"/>
      <c r="E343" s="87"/>
      <c r="F343" s="87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>
      <c r="A344" s="87"/>
      <c r="B344" s="87"/>
      <c r="C344" s="87"/>
      <c r="D344" s="87"/>
      <c r="E344" s="87"/>
      <c r="F344" s="87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>
      <c r="A345" s="87"/>
      <c r="B345" s="87"/>
      <c r="C345" s="87"/>
      <c r="D345" s="87"/>
      <c r="E345" s="87"/>
      <c r="F345" s="87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>
      <c r="A346" s="87"/>
      <c r="B346" s="87"/>
      <c r="C346" s="87"/>
      <c r="D346" s="87"/>
      <c r="E346" s="87"/>
      <c r="F346" s="87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>
      <c r="A347" s="87"/>
      <c r="B347" s="87"/>
      <c r="C347" s="87"/>
      <c r="D347" s="87"/>
      <c r="E347" s="87"/>
      <c r="F347" s="87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>
      <c r="A348" s="87"/>
      <c r="B348" s="87"/>
      <c r="C348" s="87"/>
      <c r="D348" s="87"/>
      <c r="E348" s="87"/>
      <c r="F348" s="87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>
      <c r="A349" s="87"/>
      <c r="B349" s="87"/>
      <c r="C349" s="87"/>
      <c r="D349" s="87"/>
      <c r="E349" s="87"/>
      <c r="F349" s="87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>
      <c r="A350" s="87"/>
      <c r="B350" s="87"/>
      <c r="C350" s="87"/>
      <c r="D350" s="87"/>
      <c r="E350" s="87"/>
      <c r="F350" s="87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>
      <c r="A351" s="87"/>
      <c r="B351" s="87"/>
      <c r="C351" s="87"/>
      <c r="D351" s="87"/>
      <c r="E351" s="87"/>
      <c r="F351" s="87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>
      <c r="A352" s="87"/>
      <c r="B352" s="87"/>
      <c r="C352" s="87"/>
      <c r="D352" s="87"/>
      <c r="E352" s="87"/>
      <c r="F352" s="87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>
      <c r="A353" s="87"/>
      <c r="B353" s="87"/>
      <c r="C353" s="87"/>
      <c r="D353" s="87"/>
      <c r="E353" s="87"/>
      <c r="F353" s="87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>
      <c r="A354" s="87"/>
      <c r="B354" s="87"/>
      <c r="C354" s="87"/>
      <c r="D354" s="87"/>
      <c r="E354" s="87"/>
      <c r="F354" s="87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>
      <c r="A355" s="87"/>
      <c r="B355" s="87"/>
      <c r="C355" s="87"/>
      <c r="D355" s="87"/>
      <c r="E355" s="87"/>
      <c r="F355" s="87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>
      <c r="A356" s="87"/>
      <c r="B356" s="87"/>
      <c r="C356" s="87"/>
      <c r="D356" s="87"/>
      <c r="E356" s="87"/>
      <c r="F356" s="87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>
      <c r="A357" s="87"/>
      <c r="B357" s="87"/>
      <c r="C357" s="87"/>
      <c r="D357" s="87"/>
      <c r="E357" s="87"/>
      <c r="F357" s="87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>
      <c r="A358" s="87"/>
      <c r="B358" s="87"/>
      <c r="C358" s="87"/>
      <c r="D358" s="87"/>
      <c r="E358" s="87"/>
      <c r="F358" s="87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>
      <c r="A359" s="87"/>
      <c r="B359" s="87"/>
      <c r="C359" s="87"/>
      <c r="D359" s="87"/>
      <c r="E359" s="87"/>
      <c r="F359" s="87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>
      <c r="A360" s="87"/>
      <c r="B360" s="87"/>
      <c r="C360" s="87"/>
      <c r="D360" s="87"/>
      <c r="E360" s="87"/>
      <c r="F360" s="87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>
      <c r="A361" s="87"/>
      <c r="B361" s="87"/>
      <c r="C361" s="87"/>
      <c r="D361" s="87"/>
      <c r="E361" s="87"/>
      <c r="F361" s="87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>
      <c r="A362" s="87"/>
      <c r="B362" s="87"/>
      <c r="C362" s="87"/>
      <c r="D362" s="87"/>
      <c r="E362" s="87"/>
      <c r="F362" s="87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>
      <c r="A363" s="87"/>
      <c r="B363" s="87"/>
      <c r="C363" s="87"/>
      <c r="D363" s="87"/>
      <c r="E363" s="87"/>
      <c r="F363" s="87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>
      <c r="A364" s="87"/>
      <c r="B364" s="87"/>
      <c r="C364" s="87"/>
      <c r="D364" s="87"/>
      <c r="E364" s="87"/>
      <c r="F364" s="87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>
      <c r="A365" s="87"/>
      <c r="B365" s="87"/>
      <c r="C365" s="87"/>
      <c r="D365" s="87"/>
      <c r="E365" s="87"/>
      <c r="F365" s="87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>
      <c r="A366" s="87"/>
      <c r="B366" s="87"/>
      <c r="C366" s="87"/>
      <c r="D366" s="87"/>
      <c r="E366" s="87"/>
      <c r="F366" s="87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>
      <c r="A367" s="87"/>
      <c r="B367" s="87"/>
      <c r="C367" s="87"/>
      <c r="D367" s="87"/>
      <c r="E367" s="87"/>
      <c r="F367" s="87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>
      <c r="A368" s="87"/>
      <c r="B368" s="87"/>
      <c r="C368" s="87"/>
      <c r="D368" s="87"/>
      <c r="E368" s="87"/>
      <c r="F368" s="87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>
      <c r="A369" s="87"/>
      <c r="B369" s="87"/>
      <c r="C369" s="87"/>
      <c r="D369" s="87"/>
      <c r="E369" s="87"/>
      <c r="F369" s="87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>
      <c r="A370" s="87"/>
      <c r="B370" s="87"/>
      <c r="C370" s="87"/>
      <c r="D370" s="87"/>
      <c r="E370" s="87"/>
      <c r="F370" s="87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>
      <c r="A371" s="87"/>
      <c r="B371" s="87"/>
      <c r="C371" s="87"/>
      <c r="D371" s="87"/>
      <c r="E371" s="87"/>
      <c r="F371" s="87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>
      <c r="A372" s="87"/>
      <c r="B372" s="87"/>
      <c r="C372" s="87"/>
      <c r="D372" s="87"/>
      <c r="E372" s="87"/>
      <c r="F372" s="87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>
      <c r="A373" s="87"/>
      <c r="B373" s="87"/>
      <c r="C373" s="87"/>
      <c r="D373" s="87"/>
      <c r="E373" s="87"/>
      <c r="F373" s="87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>
      <c r="A374" s="87"/>
      <c r="B374" s="87"/>
      <c r="C374" s="87"/>
      <c r="D374" s="87"/>
      <c r="E374" s="87"/>
      <c r="F374" s="87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>
      <c r="A375" s="87"/>
      <c r="B375" s="87"/>
      <c r="C375" s="87"/>
      <c r="D375" s="87"/>
      <c r="E375" s="87"/>
      <c r="F375" s="87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>
      <c r="A376" s="87"/>
      <c r="B376" s="87"/>
      <c r="C376" s="87"/>
      <c r="D376" s="87"/>
      <c r="E376" s="87"/>
      <c r="F376" s="87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>
      <c r="A377" s="87"/>
      <c r="B377" s="87"/>
      <c r="C377" s="87"/>
      <c r="D377" s="87"/>
      <c r="E377" s="87"/>
      <c r="F377" s="87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>
      <c r="A378" s="87"/>
      <c r="B378" s="87"/>
      <c r="C378" s="87"/>
      <c r="D378" s="87"/>
      <c r="E378" s="87"/>
      <c r="F378" s="87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>
      <c r="A379" s="87"/>
      <c r="B379" s="87"/>
      <c r="C379" s="87"/>
      <c r="D379" s="87"/>
      <c r="E379" s="87"/>
      <c r="F379" s="87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>
      <c r="A380" s="87"/>
      <c r="B380" s="87"/>
      <c r="C380" s="87"/>
      <c r="D380" s="87"/>
      <c r="E380" s="87"/>
      <c r="F380" s="87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>
      <c r="A381" s="87"/>
      <c r="B381" s="87"/>
      <c r="C381" s="87"/>
      <c r="D381" s="87"/>
      <c r="E381" s="87"/>
      <c r="F381" s="87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>
      <c r="A382" s="87"/>
      <c r="B382" s="87"/>
      <c r="C382" s="87"/>
      <c r="D382" s="87"/>
      <c r="E382" s="87"/>
      <c r="F382" s="87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>
      <c r="A383" s="87"/>
      <c r="B383" s="87"/>
      <c r="C383" s="87"/>
      <c r="D383" s="87"/>
      <c r="E383" s="87"/>
      <c r="F383" s="87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>
      <c r="A384" s="87"/>
      <c r="B384" s="87"/>
      <c r="C384" s="87"/>
      <c r="D384" s="87"/>
      <c r="E384" s="87"/>
      <c r="F384" s="87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>
      <c r="A385" s="87"/>
      <c r="B385" s="87"/>
      <c r="C385" s="87"/>
      <c r="D385" s="87"/>
      <c r="E385" s="87"/>
      <c r="F385" s="87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>
      <c r="A386" s="87"/>
      <c r="B386" s="87"/>
      <c r="C386" s="87"/>
      <c r="D386" s="87"/>
      <c r="E386" s="87"/>
      <c r="F386" s="87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>
      <c r="A387" s="87"/>
      <c r="B387" s="87"/>
      <c r="C387" s="87"/>
      <c r="D387" s="87"/>
      <c r="E387" s="87"/>
      <c r="F387" s="87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>
      <c r="A388" s="87"/>
      <c r="B388" s="87"/>
      <c r="C388" s="87"/>
      <c r="D388" s="87"/>
      <c r="E388" s="87"/>
      <c r="F388" s="87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>
      <c r="A389" s="87"/>
      <c r="B389" s="87"/>
      <c r="C389" s="87"/>
      <c r="D389" s="87"/>
      <c r="E389" s="87"/>
      <c r="F389" s="87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>
      <c r="A390" s="87"/>
      <c r="B390" s="87"/>
      <c r="C390" s="87"/>
      <c r="D390" s="87"/>
      <c r="E390" s="87"/>
      <c r="F390" s="87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>
      <c r="A391" s="87"/>
      <c r="B391" s="87"/>
      <c r="C391" s="87"/>
      <c r="D391" s="87"/>
      <c r="E391" s="87"/>
      <c r="F391" s="87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>
      <c r="A392" s="87"/>
      <c r="B392" s="87"/>
      <c r="C392" s="87"/>
      <c r="D392" s="87"/>
      <c r="E392" s="87"/>
      <c r="F392" s="87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>
      <c r="A393" s="87"/>
      <c r="B393" s="87"/>
      <c r="C393" s="87"/>
      <c r="D393" s="87"/>
      <c r="E393" s="87"/>
      <c r="F393" s="87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>
      <c r="A394" s="87"/>
      <c r="B394" s="87"/>
      <c r="C394" s="87"/>
      <c r="D394" s="87"/>
      <c r="E394" s="87"/>
      <c r="F394" s="87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>
      <c r="A395" s="87"/>
      <c r="B395" s="87"/>
      <c r="C395" s="87"/>
      <c r="D395" s="87"/>
      <c r="E395" s="87"/>
      <c r="F395" s="87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>
      <c r="A396" s="87"/>
      <c r="B396" s="87"/>
      <c r="C396" s="87"/>
      <c r="D396" s="87"/>
      <c r="E396" s="87"/>
      <c r="F396" s="87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>
      <c r="A397" s="87"/>
      <c r="B397" s="87"/>
      <c r="C397" s="87"/>
      <c r="D397" s="87"/>
      <c r="E397" s="87"/>
      <c r="F397" s="87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>
      <c r="A398" s="87"/>
      <c r="B398" s="87"/>
      <c r="C398" s="87"/>
      <c r="D398" s="87"/>
      <c r="E398" s="87"/>
      <c r="F398" s="87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>
      <c r="A399" s="87"/>
      <c r="B399" s="87"/>
      <c r="C399" s="87"/>
      <c r="D399" s="87"/>
      <c r="E399" s="87"/>
      <c r="F399" s="87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>
      <c r="A400" s="87"/>
      <c r="B400" s="87"/>
      <c r="C400" s="87"/>
      <c r="D400" s="87"/>
      <c r="E400" s="87"/>
      <c r="F400" s="87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>
      <c r="A401" s="87"/>
      <c r="B401" s="87"/>
      <c r="C401" s="87"/>
      <c r="D401" s="87"/>
      <c r="E401" s="87"/>
      <c r="F401" s="87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>
      <c r="A402" s="87"/>
      <c r="B402" s="87"/>
      <c r="C402" s="87"/>
      <c r="D402" s="87"/>
      <c r="E402" s="87"/>
      <c r="F402" s="87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>
      <c r="A403" s="87"/>
      <c r="B403" s="87"/>
      <c r="C403" s="87"/>
      <c r="D403" s="87"/>
      <c r="E403" s="87"/>
      <c r="F403" s="87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>
      <c r="A404" s="87"/>
      <c r="B404" s="87"/>
      <c r="C404" s="87"/>
      <c r="D404" s="87"/>
      <c r="E404" s="87"/>
      <c r="F404" s="87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>
      <c r="A405" s="87"/>
      <c r="B405" s="87"/>
      <c r="C405" s="87"/>
      <c r="D405" s="87"/>
      <c r="E405" s="87"/>
      <c r="F405" s="87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>
      <c r="A406" s="87"/>
      <c r="B406" s="87"/>
      <c r="C406" s="87"/>
      <c r="D406" s="87"/>
      <c r="E406" s="87"/>
      <c r="F406" s="87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>
      <c r="A407" s="87"/>
      <c r="B407" s="87"/>
      <c r="C407" s="87"/>
      <c r="D407" s="87"/>
      <c r="E407" s="87"/>
      <c r="F407" s="87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>
      <c r="A408" s="87"/>
      <c r="B408" s="87"/>
      <c r="C408" s="87"/>
      <c r="D408" s="87"/>
      <c r="E408" s="87"/>
      <c r="F408" s="87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>
      <c r="A409" s="87"/>
      <c r="B409" s="87"/>
      <c r="C409" s="87"/>
      <c r="D409" s="87"/>
      <c r="E409" s="87"/>
      <c r="F409" s="87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>
      <c r="A410" s="87"/>
      <c r="B410" s="87"/>
      <c r="C410" s="87"/>
      <c r="D410" s="87"/>
      <c r="E410" s="87"/>
      <c r="F410" s="87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>
      <c r="A411" s="87"/>
      <c r="B411" s="87"/>
      <c r="C411" s="87"/>
      <c r="D411" s="87"/>
      <c r="E411" s="87"/>
      <c r="F411" s="87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>
      <c r="A412" s="87"/>
      <c r="B412" s="87"/>
      <c r="C412" s="87"/>
      <c r="D412" s="87"/>
      <c r="E412" s="87"/>
      <c r="F412" s="87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>
      <c r="A413" s="87"/>
      <c r="B413" s="87"/>
      <c r="C413" s="87"/>
      <c r="D413" s="87"/>
      <c r="E413" s="87"/>
      <c r="F413" s="87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>
      <c r="A414" s="87"/>
      <c r="B414" s="87"/>
      <c r="C414" s="87"/>
      <c r="D414" s="87"/>
      <c r="E414" s="87"/>
      <c r="F414" s="87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>
      <c r="A415" s="87"/>
      <c r="B415" s="87"/>
      <c r="C415" s="87"/>
      <c r="D415" s="87"/>
      <c r="E415" s="87"/>
      <c r="F415" s="87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>
      <c r="A416" s="87"/>
      <c r="B416" s="87"/>
      <c r="C416" s="87"/>
      <c r="D416" s="87"/>
      <c r="E416" s="87"/>
      <c r="F416" s="87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>
      <c r="A417" s="87"/>
      <c r="B417" s="87"/>
      <c r="C417" s="87"/>
      <c r="D417" s="87"/>
      <c r="E417" s="87"/>
      <c r="F417" s="87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>
      <c r="A418" s="87"/>
      <c r="B418" s="87"/>
      <c r="C418" s="87"/>
      <c r="D418" s="87"/>
      <c r="E418" s="87"/>
      <c r="F418" s="87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>
      <c r="A419" s="87"/>
      <c r="B419" s="87"/>
      <c r="C419" s="87"/>
      <c r="D419" s="87"/>
      <c r="E419" s="87"/>
      <c r="F419" s="87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>
      <c r="A420" s="87"/>
      <c r="B420" s="87"/>
      <c r="C420" s="87"/>
      <c r="D420" s="87"/>
      <c r="E420" s="87"/>
      <c r="F420" s="87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>
      <c r="A421" s="87"/>
      <c r="B421" s="87"/>
      <c r="C421" s="87"/>
      <c r="D421" s="87"/>
      <c r="E421" s="87"/>
      <c r="F421" s="87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>
      <c r="A422" s="87"/>
      <c r="B422" s="87"/>
      <c r="C422" s="87"/>
      <c r="D422" s="87"/>
      <c r="E422" s="87"/>
      <c r="F422" s="87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>
      <c r="A423" s="87"/>
      <c r="B423" s="87"/>
      <c r="C423" s="87"/>
      <c r="D423" s="87"/>
      <c r="E423" s="87"/>
      <c r="F423" s="87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>
      <c r="A424" s="87"/>
      <c r="B424" s="87"/>
      <c r="C424" s="87"/>
      <c r="D424" s="87"/>
      <c r="E424" s="87"/>
      <c r="F424" s="87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>
      <c r="A425" s="87"/>
      <c r="B425" s="87"/>
      <c r="C425" s="87"/>
      <c r="D425" s="87"/>
      <c r="E425" s="87"/>
      <c r="F425" s="87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>
      <c r="A426" s="87"/>
      <c r="B426" s="87"/>
      <c r="C426" s="87"/>
      <c r="D426" s="87"/>
      <c r="E426" s="87"/>
      <c r="F426" s="87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>
      <c r="A427" s="87"/>
      <c r="B427" s="87"/>
      <c r="C427" s="87"/>
      <c r="D427" s="87"/>
      <c r="E427" s="87"/>
      <c r="F427" s="87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>
      <c r="A428" s="87"/>
      <c r="B428" s="87"/>
      <c r="C428" s="87"/>
      <c r="D428" s="87"/>
      <c r="E428" s="87"/>
      <c r="F428" s="87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>
      <c r="A429" s="87"/>
      <c r="B429" s="87"/>
      <c r="C429" s="87"/>
      <c r="D429" s="87"/>
      <c r="E429" s="87"/>
      <c r="F429" s="87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>
      <c r="A430" s="87"/>
      <c r="B430" s="87"/>
      <c r="C430" s="87"/>
      <c r="D430" s="87"/>
      <c r="E430" s="87"/>
      <c r="F430" s="87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>
      <c r="A431" s="87"/>
      <c r="B431" s="87"/>
      <c r="C431" s="87"/>
      <c r="D431" s="87"/>
      <c r="E431" s="87"/>
      <c r="F431" s="87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>
      <c r="A432" s="87"/>
      <c r="B432" s="87"/>
      <c r="C432" s="87"/>
      <c r="D432" s="87"/>
      <c r="E432" s="87"/>
      <c r="F432" s="87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>
      <c r="A433" s="87"/>
      <c r="B433" s="87"/>
      <c r="C433" s="87"/>
      <c r="D433" s="87"/>
      <c r="E433" s="87"/>
      <c r="F433" s="87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>
      <c r="A434" s="87"/>
      <c r="B434" s="87"/>
      <c r="C434" s="87"/>
      <c r="D434" s="87"/>
      <c r="E434" s="87"/>
      <c r="F434" s="87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>
      <c r="A435" s="87"/>
      <c r="B435" s="87"/>
      <c r="C435" s="87"/>
      <c r="D435" s="87"/>
      <c r="E435" s="87"/>
      <c r="F435" s="87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>
      <c r="A436" s="87"/>
      <c r="B436" s="87"/>
      <c r="C436" s="87"/>
      <c r="D436" s="87"/>
      <c r="E436" s="87"/>
      <c r="F436" s="87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>
      <c r="A437" s="87"/>
      <c r="B437" s="87"/>
      <c r="C437" s="87"/>
      <c r="D437" s="87"/>
      <c r="E437" s="87"/>
      <c r="F437" s="87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>
      <c r="A438" s="87"/>
      <c r="B438" s="87"/>
      <c r="C438" s="87"/>
      <c r="D438" s="87"/>
      <c r="E438" s="87"/>
      <c r="F438" s="87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>
      <c r="A439" s="87"/>
      <c r="B439" s="87"/>
      <c r="C439" s="87"/>
      <c r="D439" s="87"/>
      <c r="E439" s="87"/>
      <c r="F439" s="87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>
      <c r="A440" s="87"/>
      <c r="B440" s="87"/>
      <c r="C440" s="87"/>
      <c r="D440" s="87"/>
      <c r="E440" s="87"/>
      <c r="F440" s="87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>
      <c r="A441" s="87"/>
      <c r="B441" s="87"/>
      <c r="C441" s="87"/>
      <c r="D441" s="87"/>
      <c r="E441" s="87"/>
      <c r="F441" s="87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>
      <c r="A442" s="87"/>
      <c r="B442" s="87"/>
      <c r="C442" s="87"/>
      <c r="D442" s="87"/>
      <c r="E442" s="87"/>
      <c r="F442" s="87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>
      <c r="A443" s="87"/>
      <c r="B443" s="87"/>
      <c r="C443" s="87"/>
      <c r="D443" s="87"/>
      <c r="E443" s="87"/>
      <c r="F443" s="87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>
      <c r="A444" s="87"/>
      <c r="B444" s="87"/>
      <c r="C444" s="87"/>
      <c r="D444" s="87"/>
      <c r="E444" s="87"/>
      <c r="F444" s="87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>
      <c r="A445" s="87"/>
      <c r="B445" s="87"/>
      <c r="C445" s="87"/>
      <c r="D445" s="87"/>
      <c r="E445" s="87"/>
      <c r="F445" s="87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>
      <c r="A446" s="87"/>
      <c r="B446" s="87"/>
      <c r="C446" s="87"/>
      <c r="D446" s="87"/>
      <c r="E446" s="87"/>
      <c r="F446" s="87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>
      <c r="A447" s="87"/>
      <c r="B447" s="87"/>
      <c r="C447" s="87"/>
      <c r="D447" s="87"/>
      <c r="E447" s="87"/>
      <c r="F447" s="87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>
      <c r="A448" s="87"/>
      <c r="B448" s="87"/>
      <c r="C448" s="87"/>
      <c r="D448" s="87"/>
      <c r="E448" s="87"/>
      <c r="F448" s="87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>
      <c r="A449" s="87"/>
      <c r="B449" s="87"/>
      <c r="C449" s="87"/>
      <c r="D449" s="87"/>
      <c r="E449" s="87"/>
      <c r="F449" s="87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>
      <c r="A450" s="87"/>
      <c r="B450" s="87"/>
      <c r="C450" s="87"/>
      <c r="D450" s="87"/>
      <c r="E450" s="87"/>
      <c r="F450" s="87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>
      <c r="A451" s="87"/>
      <c r="B451" s="87"/>
      <c r="C451" s="87"/>
      <c r="D451" s="87"/>
      <c r="E451" s="87"/>
      <c r="F451" s="87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>
      <c r="A452" s="87"/>
      <c r="B452" s="87"/>
      <c r="C452" s="87"/>
      <c r="D452" s="87"/>
      <c r="E452" s="87"/>
      <c r="F452" s="87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>
      <c r="A453" s="87"/>
      <c r="B453" s="87"/>
      <c r="C453" s="87"/>
      <c r="D453" s="87"/>
      <c r="E453" s="87"/>
      <c r="F453" s="87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>
      <c r="A454" s="87"/>
      <c r="B454" s="87"/>
      <c r="C454" s="87"/>
      <c r="D454" s="87"/>
      <c r="E454" s="87"/>
      <c r="F454" s="87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>
      <c r="A455" s="87"/>
      <c r="B455" s="87"/>
      <c r="C455" s="87"/>
      <c r="D455" s="87"/>
      <c r="E455" s="87"/>
      <c r="F455" s="87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>
      <c r="A456" s="87"/>
      <c r="B456" s="87"/>
      <c r="C456" s="87"/>
      <c r="D456" s="87"/>
      <c r="E456" s="87"/>
      <c r="F456" s="87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>
      <c r="A457" s="87"/>
      <c r="B457" s="87"/>
      <c r="C457" s="87"/>
      <c r="D457" s="87"/>
      <c r="E457" s="87"/>
      <c r="F457" s="87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>
      <c r="A458" s="87"/>
      <c r="B458" s="87"/>
      <c r="C458" s="87"/>
      <c r="D458" s="87"/>
      <c r="E458" s="87"/>
      <c r="F458" s="87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>
      <c r="A459" s="87"/>
      <c r="B459" s="87"/>
      <c r="C459" s="87"/>
      <c r="D459" s="87"/>
      <c r="E459" s="87"/>
      <c r="F459" s="87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>
      <c r="A460" s="87"/>
      <c r="B460" s="87"/>
      <c r="C460" s="87"/>
      <c r="D460" s="87"/>
      <c r="E460" s="87"/>
      <c r="F460" s="87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>
      <c r="A461" s="87"/>
      <c r="B461" s="87"/>
      <c r="C461" s="87"/>
      <c r="D461" s="87"/>
      <c r="E461" s="87"/>
      <c r="F461" s="87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>
      <c r="A462" s="87"/>
      <c r="B462" s="87"/>
      <c r="C462" s="87"/>
      <c r="D462" s="87"/>
      <c r="E462" s="87"/>
      <c r="F462" s="87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>
      <c r="A463" s="87"/>
      <c r="B463" s="87"/>
      <c r="C463" s="87"/>
      <c r="D463" s="87"/>
      <c r="E463" s="87"/>
      <c r="F463" s="87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>
      <c r="A464" s="87"/>
      <c r="B464" s="87"/>
      <c r="C464" s="87"/>
      <c r="D464" s="87"/>
      <c r="E464" s="87"/>
      <c r="F464" s="87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>
      <c r="A465" s="87"/>
      <c r="B465" s="87"/>
      <c r="C465" s="87"/>
      <c r="D465" s="87"/>
      <c r="E465" s="87"/>
      <c r="F465" s="87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>
      <c r="A466" s="87"/>
      <c r="B466" s="87"/>
      <c r="C466" s="87"/>
      <c r="D466" s="87"/>
      <c r="E466" s="87"/>
      <c r="F466" s="87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>
      <c r="A467" s="87"/>
      <c r="B467" s="87"/>
      <c r="C467" s="87"/>
      <c r="D467" s="87"/>
      <c r="E467" s="87"/>
      <c r="F467" s="87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>
      <c r="A468" s="87"/>
      <c r="B468" s="87"/>
      <c r="C468" s="87"/>
      <c r="D468" s="87"/>
      <c r="E468" s="87"/>
      <c r="F468" s="87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>
      <c r="A469" s="87"/>
      <c r="B469" s="87"/>
      <c r="C469" s="87"/>
      <c r="D469" s="87"/>
      <c r="E469" s="87"/>
      <c r="F469" s="87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>
      <c r="A470" s="87"/>
      <c r="B470" s="87"/>
      <c r="C470" s="87"/>
      <c r="D470" s="87"/>
      <c r="E470" s="87"/>
      <c r="F470" s="87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>
      <c r="A471" s="87"/>
      <c r="B471" s="87"/>
      <c r="C471" s="87"/>
      <c r="D471" s="87"/>
      <c r="E471" s="87"/>
      <c r="F471" s="87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>
      <c r="A472" s="87"/>
      <c r="B472" s="87"/>
      <c r="C472" s="87"/>
      <c r="D472" s="87"/>
      <c r="E472" s="87"/>
      <c r="F472" s="87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>
      <c r="A473" s="87"/>
      <c r="B473" s="87"/>
      <c r="C473" s="87"/>
      <c r="D473" s="87"/>
      <c r="E473" s="87"/>
      <c r="F473" s="87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>
      <c r="A474" s="87"/>
      <c r="B474" s="87"/>
      <c r="C474" s="87"/>
      <c r="D474" s="87"/>
      <c r="E474" s="87"/>
      <c r="F474" s="87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>
      <c r="A475" s="87"/>
      <c r="B475" s="87"/>
      <c r="C475" s="87"/>
      <c r="D475" s="87"/>
      <c r="E475" s="87"/>
      <c r="F475" s="87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>
      <c r="A476" s="87"/>
      <c r="B476" s="87"/>
      <c r="C476" s="87"/>
      <c r="D476" s="87"/>
      <c r="E476" s="87"/>
      <c r="F476" s="87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>
      <c r="A477" s="87"/>
      <c r="B477" s="87"/>
      <c r="C477" s="87"/>
      <c r="D477" s="87"/>
      <c r="E477" s="87"/>
      <c r="F477" s="87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>
      <c r="A478" s="87"/>
      <c r="B478" s="87"/>
      <c r="C478" s="87"/>
      <c r="D478" s="87"/>
      <c r="E478" s="87"/>
      <c r="F478" s="87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>
      <c r="A479" s="87"/>
      <c r="B479" s="87"/>
      <c r="C479" s="87"/>
      <c r="D479" s="87"/>
      <c r="E479" s="87"/>
      <c r="F479" s="87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>
      <c r="A480" s="87"/>
      <c r="B480" s="87"/>
      <c r="C480" s="87"/>
      <c r="D480" s="87"/>
      <c r="E480" s="87"/>
      <c r="F480" s="87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>
      <c r="A481" s="87"/>
      <c r="B481" s="87"/>
      <c r="C481" s="87"/>
      <c r="D481" s="87"/>
      <c r="E481" s="87"/>
      <c r="F481" s="87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>
      <c r="A482" s="87"/>
      <c r="B482" s="87"/>
      <c r="C482" s="87"/>
      <c r="D482" s="87"/>
      <c r="E482" s="87"/>
      <c r="F482" s="87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>
      <c r="A483" s="87"/>
      <c r="B483" s="87"/>
      <c r="C483" s="87"/>
      <c r="D483" s="87"/>
      <c r="E483" s="87"/>
      <c r="F483" s="87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>
      <c r="A484" s="87"/>
      <c r="B484" s="87"/>
      <c r="C484" s="87"/>
      <c r="D484" s="87"/>
      <c r="E484" s="87"/>
      <c r="F484" s="87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>
      <c r="A485" s="87"/>
      <c r="B485" s="87"/>
      <c r="C485" s="87"/>
      <c r="D485" s="87"/>
      <c r="E485" s="87"/>
      <c r="F485" s="87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>
      <c r="A486" s="87"/>
      <c r="B486" s="87"/>
      <c r="C486" s="87"/>
      <c r="D486" s="87"/>
      <c r="E486" s="87"/>
      <c r="F486" s="87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>
      <c r="A487" s="87"/>
      <c r="B487" s="87"/>
      <c r="C487" s="87"/>
      <c r="D487" s="87"/>
      <c r="E487" s="87"/>
      <c r="F487" s="87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>
      <c r="A488" s="87"/>
      <c r="B488" s="87"/>
      <c r="C488" s="87"/>
      <c r="D488" s="87"/>
      <c r="E488" s="87"/>
      <c r="F488" s="87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>
      <c r="A489" s="87"/>
      <c r="B489" s="87"/>
      <c r="C489" s="87"/>
      <c r="D489" s="87"/>
      <c r="E489" s="87"/>
      <c r="F489" s="87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>
      <c r="A490" s="87"/>
      <c r="B490" s="87"/>
      <c r="C490" s="87"/>
      <c r="D490" s="87"/>
      <c r="E490" s="87"/>
      <c r="F490" s="87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>
      <c r="A491" s="87"/>
      <c r="B491" s="87"/>
      <c r="C491" s="87"/>
      <c r="D491" s="87"/>
      <c r="E491" s="87"/>
      <c r="F491" s="87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>
      <c r="A492" s="87"/>
      <c r="B492" s="87"/>
      <c r="C492" s="87"/>
      <c r="D492" s="87"/>
      <c r="E492" s="87"/>
      <c r="F492" s="87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>
      <c r="A493" s="87"/>
      <c r="B493" s="87"/>
      <c r="C493" s="87"/>
      <c r="D493" s="87"/>
      <c r="E493" s="87"/>
      <c r="F493" s="87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>
      <c r="A494" s="87"/>
      <c r="B494" s="87"/>
      <c r="C494" s="87"/>
      <c r="D494" s="87"/>
      <c r="E494" s="87"/>
      <c r="F494" s="87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>
      <c r="A495" s="87"/>
      <c r="B495" s="87"/>
      <c r="C495" s="87"/>
      <c r="D495" s="87"/>
      <c r="E495" s="87"/>
      <c r="F495" s="87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>
      <c r="A496" s="87"/>
      <c r="B496" s="87"/>
      <c r="C496" s="87"/>
      <c r="D496" s="87"/>
      <c r="E496" s="87"/>
      <c r="F496" s="87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>
      <c r="A497" s="87"/>
      <c r="B497" s="87"/>
      <c r="C497" s="87"/>
      <c r="D497" s="87"/>
      <c r="E497" s="87"/>
      <c r="F497" s="87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>
      <c r="A498" s="87"/>
      <c r="B498" s="87"/>
      <c r="C498" s="87"/>
      <c r="D498" s="87"/>
      <c r="E498" s="87"/>
      <c r="F498" s="87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>
      <c r="A499" s="87"/>
      <c r="B499" s="87"/>
      <c r="C499" s="87"/>
      <c r="D499" s="87"/>
      <c r="E499" s="87"/>
      <c r="F499" s="87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>
      <c r="A500" s="87"/>
      <c r="B500" s="87"/>
      <c r="C500" s="87"/>
      <c r="D500" s="87"/>
      <c r="E500" s="87"/>
      <c r="F500" s="87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>
      <c r="A501" s="87"/>
      <c r="B501" s="87"/>
      <c r="C501" s="87"/>
      <c r="D501" s="87"/>
      <c r="E501" s="87"/>
      <c r="F501" s="87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>
      <c r="A502" s="87"/>
      <c r="B502" s="87"/>
      <c r="C502" s="87"/>
      <c r="D502" s="87"/>
      <c r="E502" s="87"/>
      <c r="F502" s="87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>
      <c r="A503" s="87"/>
      <c r="B503" s="87"/>
      <c r="C503" s="87"/>
      <c r="D503" s="87"/>
      <c r="E503" s="87"/>
      <c r="F503" s="87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>
      <c r="A504" s="87"/>
      <c r="B504" s="87"/>
      <c r="C504" s="87"/>
      <c r="D504" s="87"/>
      <c r="E504" s="87"/>
      <c r="F504" s="87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>
      <c r="A505" s="87"/>
      <c r="B505" s="87"/>
      <c r="C505" s="87"/>
      <c r="D505" s="87"/>
      <c r="E505" s="87"/>
      <c r="F505" s="87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>
      <c r="A506" s="87"/>
      <c r="B506" s="87"/>
      <c r="C506" s="87"/>
      <c r="D506" s="87"/>
      <c r="E506" s="87"/>
      <c r="F506" s="87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>
      <c r="A507" s="87"/>
      <c r="B507" s="87"/>
      <c r="C507" s="87"/>
      <c r="D507" s="87"/>
      <c r="E507" s="87"/>
      <c r="F507" s="87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>
      <c r="A508" s="87"/>
      <c r="B508" s="87"/>
      <c r="C508" s="87"/>
      <c r="D508" s="87"/>
      <c r="E508" s="87"/>
      <c r="F508" s="87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>
      <c r="A509" s="87"/>
      <c r="B509" s="87"/>
      <c r="C509" s="87"/>
      <c r="D509" s="87"/>
      <c r="E509" s="87"/>
      <c r="F509" s="87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>
      <c r="A510" s="87"/>
      <c r="B510" s="87"/>
      <c r="C510" s="87"/>
      <c r="D510" s="87"/>
      <c r="E510" s="87"/>
      <c r="F510" s="87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>
      <c r="A511" s="87"/>
      <c r="B511" s="87"/>
      <c r="C511" s="87"/>
      <c r="D511" s="87"/>
      <c r="E511" s="87"/>
      <c r="F511" s="87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>
      <c r="A512" s="87"/>
      <c r="B512" s="87"/>
      <c r="C512" s="87"/>
      <c r="D512" s="87"/>
      <c r="E512" s="87"/>
      <c r="F512" s="87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>
      <c r="A513" s="87"/>
      <c r="B513" s="87"/>
      <c r="C513" s="87"/>
      <c r="D513" s="87"/>
      <c r="E513" s="87"/>
      <c r="F513" s="87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>
      <c r="A514" s="87"/>
      <c r="B514" s="87"/>
      <c r="C514" s="87"/>
      <c r="D514" s="87"/>
      <c r="E514" s="87"/>
      <c r="F514" s="87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>
      <c r="A515" s="87"/>
      <c r="B515" s="87"/>
      <c r="C515" s="87"/>
      <c r="D515" s="87"/>
      <c r="E515" s="87"/>
      <c r="F515" s="87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>
      <c r="A516" s="87"/>
      <c r="B516" s="87"/>
      <c r="C516" s="87"/>
      <c r="D516" s="87"/>
      <c r="E516" s="87"/>
      <c r="F516" s="87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>
      <c r="A517" s="87"/>
      <c r="B517" s="87"/>
      <c r="C517" s="87"/>
      <c r="D517" s="87"/>
      <c r="E517" s="87"/>
      <c r="F517" s="87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>
      <c r="A518" s="87"/>
      <c r="B518" s="87"/>
      <c r="C518" s="87"/>
      <c r="D518" s="87"/>
      <c r="E518" s="87"/>
      <c r="F518" s="87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>
      <c r="A519" s="87"/>
      <c r="B519" s="87"/>
      <c r="C519" s="87"/>
      <c r="D519" s="87"/>
      <c r="E519" s="87"/>
      <c r="F519" s="87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>
      <c r="A520" s="87"/>
      <c r="B520" s="87"/>
      <c r="C520" s="87"/>
      <c r="D520" s="87"/>
      <c r="E520" s="87"/>
      <c r="F520" s="87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>
      <c r="A521" s="87"/>
      <c r="B521" s="87"/>
      <c r="C521" s="87"/>
      <c r="D521" s="87"/>
      <c r="E521" s="87"/>
      <c r="F521" s="87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>
      <c r="A522" s="87"/>
      <c r="B522" s="87"/>
      <c r="C522" s="87"/>
      <c r="D522" s="87"/>
      <c r="E522" s="87"/>
      <c r="F522" s="87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>
      <c r="A523" s="87"/>
      <c r="B523" s="87"/>
      <c r="C523" s="87"/>
      <c r="D523" s="87"/>
      <c r="E523" s="87"/>
      <c r="F523" s="87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>
      <c r="A524" s="87"/>
      <c r="B524" s="87"/>
      <c r="C524" s="87"/>
      <c r="D524" s="87"/>
      <c r="E524" s="87"/>
      <c r="F524" s="87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>
      <c r="A525" s="87"/>
      <c r="B525" s="87"/>
      <c r="C525" s="87"/>
      <c r="D525" s="87"/>
      <c r="E525" s="87"/>
      <c r="F525" s="87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>
      <c r="A526" s="87"/>
      <c r="B526" s="87"/>
      <c r="C526" s="87"/>
      <c r="D526" s="87"/>
      <c r="E526" s="87"/>
      <c r="F526" s="87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>
      <c r="A527" s="87"/>
      <c r="B527" s="87"/>
      <c r="C527" s="87"/>
      <c r="D527" s="87"/>
      <c r="E527" s="87"/>
      <c r="F527" s="87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>
      <c r="A528" s="87"/>
      <c r="B528" s="87"/>
      <c r="C528" s="87"/>
      <c r="D528" s="87"/>
      <c r="E528" s="87"/>
      <c r="F528" s="87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>
      <c r="A529" s="87"/>
      <c r="B529" s="87"/>
      <c r="C529" s="87"/>
      <c r="D529" s="87"/>
      <c r="E529" s="87"/>
      <c r="F529" s="87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>
      <c r="A530" s="87"/>
      <c r="B530" s="87"/>
      <c r="C530" s="87"/>
      <c r="D530" s="87"/>
      <c r="E530" s="87"/>
      <c r="F530" s="87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>
      <c r="A531" s="87"/>
      <c r="B531" s="87"/>
      <c r="C531" s="87"/>
      <c r="D531" s="87"/>
      <c r="E531" s="87"/>
      <c r="F531" s="87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>
      <c r="A532" s="87"/>
      <c r="B532" s="87"/>
      <c r="C532" s="87"/>
      <c r="D532" s="87"/>
      <c r="E532" s="87"/>
      <c r="F532" s="87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>
      <c r="A533" s="87"/>
      <c r="B533" s="87"/>
      <c r="C533" s="87"/>
      <c r="D533" s="87"/>
      <c r="E533" s="87"/>
      <c r="F533" s="87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>
      <c r="A534" s="87"/>
      <c r="B534" s="87"/>
      <c r="C534" s="87"/>
      <c r="D534" s="87"/>
      <c r="E534" s="87"/>
      <c r="F534" s="87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>
      <c r="A535" s="87"/>
      <c r="B535" s="87"/>
      <c r="C535" s="87"/>
      <c r="D535" s="87"/>
      <c r="E535" s="87"/>
      <c r="F535" s="87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>
      <c r="A536" s="87"/>
      <c r="B536" s="87"/>
      <c r="C536" s="87"/>
      <c r="D536" s="87"/>
      <c r="E536" s="87"/>
      <c r="F536" s="87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>
      <c r="A537" s="87"/>
      <c r="B537" s="87"/>
      <c r="C537" s="87"/>
      <c r="D537" s="87"/>
      <c r="E537" s="87"/>
      <c r="F537" s="87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>
      <c r="A538" s="87"/>
      <c r="B538" s="87"/>
      <c r="C538" s="87"/>
      <c r="D538" s="87"/>
      <c r="E538" s="87"/>
      <c r="F538" s="87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>
      <c r="A539" s="87"/>
      <c r="B539" s="87"/>
      <c r="C539" s="87"/>
      <c r="D539" s="87"/>
      <c r="E539" s="87"/>
      <c r="F539" s="87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>
      <c r="A540" s="87"/>
      <c r="B540" s="87"/>
      <c r="C540" s="87"/>
      <c r="D540" s="87"/>
      <c r="E540" s="87"/>
      <c r="F540" s="87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>
      <c r="A541" s="87"/>
      <c r="B541" s="87"/>
      <c r="C541" s="87"/>
      <c r="D541" s="87"/>
      <c r="E541" s="87"/>
      <c r="F541" s="87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>
      <c r="A542" s="87"/>
      <c r="B542" s="87"/>
      <c r="C542" s="87"/>
      <c r="D542" s="87"/>
      <c r="E542" s="87"/>
      <c r="F542" s="87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>
      <c r="A543" s="87"/>
      <c r="B543" s="87"/>
      <c r="C543" s="87"/>
      <c r="D543" s="87"/>
      <c r="E543" s="87"/>
      <c r="F543" s="87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>
      <c r="A544" s="87"/>
      <c r="B544" s="87"/>
      <c r="C544" s="87"/>
      <c r="D544" s="87"/>
      <c r="E544" s="87"/>
      <c r="F544" s="87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>
      <c r="A545" s="87"/>
      <c r="B545" s="87"/>
      <c r="C545" s="87"/>
      <c r="D545" s="87"/>
      <c r="E545" s="87"/>
      <c r="F545" s="87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>
      <c r="A546" s="87"/>
      <c r="B546" s="87"/>
      <c r="C546" s="87"/>
      <c r="D546" s="87"/>
      <c r="E546" s="87"/>
      <c r="F546" s="87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>
      <c r="A547" s="87"/>
      <c r="B547" s="87"/>
      <c r="C547" s="87"/>
      <c r="D547" s="87"/>
      <c r="E547" s="87"/>
      <c r="F547" s="87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>
      <c r="A548" s="87"/>
      <c r="B548" s="87"/>
      <c r="C548" s="87"/>
      <c r="D548" s="87"/>
      <c r="E548" s="87"/>
      <c r="F548" s="87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>
      <c r="A549" s="87"/>
      <c r="B549" s="87"/>
      <c r="C549" s="87"/>
      <c r="D549" s="87"/>
      <c r="E549" s="87"/>
      <c r="F549" s="87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>
      <c r="A550" s="87"/>
      <c r="B550" s="87"/>
      <c r="C550" s="87"/>
      <c r="D550" s="87"/>
      <c r="E550" s="87"/>
      <c r="F550" s="87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>
      <c r="A551" s="87"/>
      <c r="B551" s="87"/>
      <c r="C551" s="87"/>
      <c r="D551" s="87"/>
      <c r="E551" s="87"/>
      <c r="F551" s="87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>
      <c r="A552" s="87"/>
      <c r="B552" s="87"/>
      <c r="C552" s="87"/>
      <c r="D552" s="87"/>
      <c r="E552" s="87"/>
      <c r="F552" s="87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>
      <c r="A553" s="87"/>
      <c r="B553" s="87"/>
      <c r="C553" s="87"/>
      <c r="D553" s="87"/>
      <c r="E553" s="87"/>
      <c r="F553" s="87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>
      <c r="A554" s="87"/>
      <c r="B554" s="87"/>
      <c r="C554" s="87"/>
      <c r="D554" s="87"/>
      <c r="E554" s="87"/>
      <c r="F554" s="87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>
      <c r="A555" s="87"/>
      <c r="B555" s="87"/>
      <c r="C555" s="87"/>
      <c r="D555" s="87"/>
      <c r="E555" s="87"/>
      <c r="F555" s="87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>
      <c r="A556" s="87"/>
      <c r="B556" s="87"/>
      <c r="C556" s="87"/>
      <c r="D556" s="87"/>
      <c r="E556" s="87"/>
      <c r="F556" s="87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>
      <c r="A557" s="87"/>
      <c r="B557" s="87"/>
      <c r="C557" s="87"/>
      <c r="D557" s="87"/>
      <c r="E557" s="87"/>
      <c r="F557" s="87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>
      <c r="A558" s="87"/>
      <c r="B558" s="87"/>
      <c r="C558" s="87"/>
      <c r="D558" s="87"/>
      <c r="E558" s="87"/>
      <c r="F558" s="87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>
      <c r="A559" s="87"/>
      <c r="B559" s="87"/>
      <c r="C559" s="87"/>
      <c r="D559" s="87"/>
      <c r="E559" s="87"/>
      <c r="F559" s="87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>
      <c r="A560" s="87"/>
      <c r="B560" s="87"/>
      <c r="C560" s="87"/>
      <c r="D560" s="87"/>
      <c r="E560" s="87"/>
      <c r="F560" s="87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>
      <c r="A561" s="87"/>
      <c r="B561" s="87"/>
      <c r="C561" s="87"/>
      <c r="D561" s="87"/>
      <c r="E561" s="87"/>
      <c r="F561" s="87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>
      <c r="A562" s="87"/>
      <c r="B562" s="87"/>
      <c r="C562" s="87"/>
      <c r="D562" s="87"/>
      <c r="E562" s="87"/>
      <c r="F562" s="87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>
      <c r="A563" s="87"/>
      <c r="B563" s="87"/>
      <c r="C563" s="87"/>
      <c r="D563" s="87"/>
      <c r="E563" s="87"/>
      <c r="F563" s="87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>
      <c r="A564" s="87"/>
      <c r="B564" s="87"/>
      <c r="C564" s="87"/>
      <c r="D564" s="87"/>
      <c r="E564" s="87"/>
      <c r="F564" s="87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>
      <c r="A565" s="87"/>
      <c r="B565" s="87"/>
      <c r="C565" s="87"/>
      <c r="D565" s="87"/>
      <c r="E565" s="87"/>
      <c r="F565" s="87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>
      <c r="A566" s="87"/>
      <c r="B566" s="87"/>
      <c r="C566" s="87"/>
      <c r="D566" s="87"/>
      <c r="E566" s="87"/>
      <c r="F566" s="87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>
      <c r="A567" s="87"/>
      <c r="B567" s="87"/>
      <c r="C567" s="87"/>
      <c r="D567" s="87"/>
      <c r="E567" s="87"/>
      <c r="F567" s="87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>
      <c r="A568" s="87"/>
      <c r="B568" s="87"/>
      <c r="C568" s="87"/>
      <c r="D568" s="87"/>
      <c r="E568" s="87"/>
      <c r="F568" s="87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>
      <c r="A569" s="87"/>
      <c r="B569" s="87"/>
      <c r="C569" s="87"/>
      <c r="D569" s="87"/>
      <c r="E569" s="87"/>
      <c r="F569" s="87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>
      <c r="A570" s="87"/>
      <c r="B570" s="87"/>
      <c r="C570" s="87"/>
      <c r="D570" s="87"/>
      <c r="E570" s="87"/>
      <c r="F570" s="87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>
      <c r="A571" s="87"/>
      <c r="B571" s="87"/>
      <c r="C571" s="87"/>
      <c r="D571" s="87"/>
      <c r="E571" s="87"/>
      <c r="F571" s="87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>
      <c r="A572" s="87"/>
      <c r="B572" s="87"/>
      <c r="C572" s="87"/>
      <c r="D572" s="87"/>
      <c r="E572" s="87"/>
      <c r="F572" s="87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>
      <c r="A573" s="87"/>
      <c r="B573" s="87"/>
      <c r="C573" s="87"/>
      <c r="D573" s="87"/>
      <c r="E573" s="87"/>
      <c r="F573" s="87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>
      <c r="A574" s="87"/>
      <c r="B574" s="87"/>
      <c r="C574" s="87"/>
      <c r="D574" s="87"/>
      <c r="E574" s="87"/>
      <c r="F574" s="87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>
      <c r="A575" s="87"/>
      <c r="B575" s="87"/>
      <c r="C575" s="87"/>
      <c r="D575" s="87"/>
      <c r="E575" s="87"/>
      <c r="F575" s="87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>
      <c r="A576" s="87"/>
      <c r="B576" s="87"/>
      <c r="C576" s="87"/>
      <c r="D576" s="87"/>
      <c r="E576" s="87"/>
      <c r="F576" s="87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>
      <c r="A577" s="87"/>
      <c r="B577" s="87"/>
      <c r="C577" s="87"/>
      <c r="D577" s="87"/>
      <c r="E577" s="87"/>
      <c r="F577" s="87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>
      <c r="A578" s="87"/>
      <c r="B578" s="87"/>
      <c r="C578" s="87"/>
      <c r="D578" s="87"/>
      <c r="E578" s="87"/>
      <c r="F578" s="87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>
      <c r="A579" s="87"/>
      <c r="B579" s="87"/>
      <c r="C579" s="87"/>
      <c r="D579" s="87"/>
      <c r="E579" s="87"/>
      <c r="F579" s="87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>
      <c r="A580" s="87"/>
      <c r="B580" s="87"/>
      <c r="C580" s="87"/>
      <c r="D580" s="87"/>
      <c r="E580" s="87"/>
      <c r="F580" s="87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>
      <c r="A581" s="87"/>
      <c r="B581" s="87"/>
      <c r="C581" s="87"/>
      <c r="D581" s="87"/>
      <c r="E581" s="87"/>
      <c r="F581" s="87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>
      <c r="A582" s="87"/>
      <c r="B582" s="87"/>
      <c r="C582" s="87"/>
      <c r="D582" s="87"/>
      <c r="E582" s="87"/>
      <c r="F582" s="87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>
      <c r="A583" s="87"/>
      <c r="B583" s="87"/>
      <c r="C583" s="87"/>
      <c r="D583" s="87"/>
      <c r="E583" s="87"/>
      <c r="F583" s="87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>
      <c r="A584" s="87"/>
      <c r="B584" s="87"/>
      <c r="C584" s="87"/>
      <c r="D584" s="87"/>
      <c r="E584" s="87"/>
      <c r="F584" s="87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>
      <c r="A585" s="87"/>
      <c r="B585" s="87"/>
      <c r="C585" s="87"/>
      <c r="D585" s="87"/>
      <c r="E585" s="87"/>
      <c r="F585" s="87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>
      <c r="A586" s="87"/>
      <c r="B586" s="87"/>
      <c r="C586" s="87"/>
      <c r="D586" s="87"/>
      <c r="E586" s="87"/>
      <c r="F586" s="87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>
      <c r="A587" s="87"/>
      <c r="B587" s="87"/>
      <c r="C587" s="87"/>
      <c r="D587" s="87"/>
      <c r="E587" s="87"/>
      <c r="F587" s="87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>
      <c r="A588" s="87"/>
      <c r="B588" s="87"/>
      <c r="C588" s="87"/>
      <c r="D588" s="87"/>
      <c r="E588" s="87"/>
      <c r="F588" s="87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>
      <c r="A589" s="87"/>
      <c r="B589" s="87"/>
      <c r="C589" s="87"/>
      <c r="D589" s="87"/>
      <c r="E589" s="87"/>
      <c r="F589" s="87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>
      <c r="A590" s="87"/>
      <c r="B590" s="87"/>
      <c r="C590" s="87"/>
      <c r="D590" s="87"/>
      <c r="E590" s="87"/>
      <c r="F590" s="87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>
      <c r="A591" s="87"/>
      <c r="B591" s="87"/>
      <c r="C591" s="87"/>
      <c r="D591" s="87"/>
      <c r="E591" s="87"/>
      <c r="F591" s="87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>
      <c r="A592" s="87"/>
      <c r="B592" s="87"/>
      <c r="C592" s="87"/>
      <c r="D592" s="87"/>
      <c r="E592" s="87"/>
      <c r="F592" s="87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>
      <c r="A593" s="87"/>
      <c r="B593" s="87"/>
      <c r="C593" s="87"/>
      <c r="D593" s="87"/>
      <c r="E593" s="87"/>
      <c r="F593" s="87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>
      <c r="A594" s="87"/>
      <c r="B594" s="87"/>
      <c r="C594" s="87"/>
      <c r="D594" s="87"/>
      <c r="E594" s="87"/>
      <c r="F594" s="87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>
      <c r="A595" s="87"/>
      <c r="B595" s="87"/>
      <c r="C595" s="87"/>
      <c r="D595" s="87"/>
      <c r="E595" s="87"/>
      <c r="F595" s="87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>
      <c r="A596" s="87"/>
      <c r="B596" s="87"/>
      <c r="C596" s="87"/>
      <c r="D596" s="87"/>
      <c r="E596" s="87"/>
      <c r="F596" s="87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>
      <c r="A597" s="87"/>
      <c r="B597" s="87"/>
      <c r="C597" s="87"/>
      <c r="D597" s="87"/>
      <c r="E597" s="87"/>
      <c r="F597" s="87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>
      <c r="A598" s="87"/>
      <c r="B598" s="87"/>
      <c r="C598" s="87"/>
      <c r="D598" s="87"/>
      <c r="E598" s="87"/>
      <c r="F598" s="87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>
      <c r="A599" s="87"/>
      <c r="B599" s="87"/>
      <c r="C599" s="87"/>
      <c r="D599" s="87"/>
      <c r="E599" s="87"/>
      <c r="F599" s="87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>
      <c r="A600" s="87"/>
      <c r="B600" s="87"/>
      <c r="C600" s="87"/>
      <c r="D600" s="87"/>
      <c r="E600" s="87"/>
      <c r="F600" s="87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>
      <c r="A601" s="87"/>
      <c r="B601" s="87"/>
      <c r="C601" s="87"/>
      <c r="D601" s="87"/>
      <c r="E601" s="87"/>
      <c r="F601" s="87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>
      <c r="A602" s="87"/>
      <c r="B602" s="87"/>
      <c r="C602" s="87"/>
      <c r="D602" s="87"/>
      <c r="E602" s="87"/>
      <c r="F602" s="87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>
      <c r="A603" s="87"/>
      <c r="B603" s="87"/>
      <c r="C603" s="87"/>
      <c r="D603" s="87"/>
      <c r="E603" s="87"/>
      <c r="F603" s="87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>
      <c r="A604" s="87"/>
      <c r="B604" s="87"/>
      <c r="C604" s="87"/>
      <c r="D604" s="87"/>
      <c r="E604" s="87"/>
      <c r="F604" s="87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>
      <c r="A605" s="87"/>
      <c r="B605" s="87"/>
      <c r="C605" s="87"/>
      <c r="D605" s="87"/>
      <c r="E605" s="87"/>
      <c r="F605" s="87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>
      <c r="A606" s="87"/>
      <c r="B606" s="87"/>
      <c r="C606" s="87"/>
      <c r="D606" s="87"/>
      <c r="E606" s="87"/>
      <c r="F606" s="87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>
      <c r="A607" s="87"/>
      <c r="B607" s="87"/>
      <c r="C607" s="87"/>
      <c r="D607" s="87"/>
      <c r="E607" s="87"/>
      <c r="F607" s="87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>
      <c r="A608" s="87"/>
      <c r="B608" s="87"/>
      <c r="C608" s="87"/>
      <c r="D608" s="87"/>
      <c r="E608" s="87"/>
      <c r="F608" s="87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>
      <c r="A609" s="87"/>
      <c r="B609" s="87"/>
      <c r="C609" s="87"/>
      <c r="D609" s="87"/>
      <c r="E609" s="87"/>
      <c r="F609" s="87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>
      <c r="A610" s="87"/>
      <c r="B610" s="87"/>
      <c r="C610" s="87"/>
      <c r="D610" s="87"/>
      <c r="E610" s="87"/>
      <c r="F610" s="87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>
      <c r="A611" s="87"/>
      <c r="B611" s="87"/>
      <c r="C611" s="87"/>
      <c r="D611" s="87"/>
      <c r="E611" s="87"/>
      <c r="F611" s="87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>
      <c r="A612" s="87"/>
      <c r="B612" s="87"/>
      <c r="C612" s="87"/>
      <c r="D612" s="87"/>
      <c r="E612" s="87"/>
      <c r="F612" s="87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>
      <c r="A613" s="87"/>
      <c r="B613" s="87"/>
      <c r="C613" s="87"/>
      <c r="D613" s="87"/>
      <c r="E613" s="87"/>
      <c r="F613" s="87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>
      <c r="A614" s="87"/>
      <c r="B614" s="87"/>
      <c r="C614" s="87"/>
      <c r="D614" s="87"/>
      <c r="E614" s="87"/>
      <c r="F614" s="87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>
      <c r="A615" s="87"/>
      <c r="B615" s="87"/>
      <c r="C615" s="87"/>
      <c r="D615" s="87"/>
      <c r="E615" s="87"/>
      <c r="F615" s="87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>
      <c r="A616" s="87"/>
      <c r="B616" s="87"/>
      <c r="C616" s="87"/>
      <c r="D616" s="87"/>
      <c r="E616" s="87"/>
      <c r="F616" s="87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>
      <c r="A617" s="87"/>
      <c r="B617" s="87"/>
      <c r="C617" s="87"/>
      <c r="D617" s="87"/>
      <c r="E617" s="87"/>
      <c r="F617" s="87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>
      <c r="A618" s="87"/>
      <c r="B618" s="87"/>
      <c r="C618" s="87"/>
      <c r="D618" s="87"/>
      <c r="E618" s="87"/>
      <c r="F618" s="87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>
      <c r="A619" s="87"/>
      <c r="B619" s="87"/>
      <c r="C619" s="87"/>
      <c r="D619" s="87"/>
      <c r="E619" s="87"/>
      <c r="F619" s="87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>
      <c r="A620" s="87"/>
      <c r="B620" s="87"/>
      <c r="C620" s="87"/>
      <c r="D620" s="87"/>
      <c r="E620" s="87"/>
      <c r="F620" s="87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>
      <c r="A621" s="87"/>
      <c r="B621" s="87"/>
      <c r="C621" s="87"/>
      <c r="D621" s="87"/>
      <c r="E621" s="87"/>
      <c r="F621" s="87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>
      <c r="A622" s="87"/>
      <c r="B622" s="87"/>
      <c r="C622" s="87"/>
      <c r="D622" s="87"/>
      <c r="E622" s="87"/>
      <c r="F622" s="87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>
      <c r="A623" s="87"/>
      <c r="B623" s="87"/>
      <c r="C623" s="87"/>
      <c r="D623" s="87"/>
      <c r="E623" s="87"/>
      <c r="F623" s="87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>
      <c r="A624" s="87"/>
      <c r="B624" s="87"/>
      <c r="C624" s="87"/>
      <c r="D624" s="87"/>
      <c r="E624" s="87"/>
      <c r="F624" s="87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>
      <c r="A625" s="87"/>
      <c r="B625" s="87"/>
      <c r="C625" s="87"/>
      <c r="D625" s="87"/>
      <c r="E625" s="87"/>
      <c r="F625" s="87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>
      <c r="A626" s="87"/>
      <c r="B626" s="87"/>
      <c r="C626" s="87"/>
      <c r="D626" s="87"/>
      <c r="E626" s="87"/>
      <c r="F626" s="87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>
      <c r="A627" s="87"/>
      <c r="B627" s="87"/>
      <c r="C627" s="87"/>
      <c r="D627" s="87"/>
      <c r="E627" s="87"/>
      <c r="F627" s="87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>
      <c r="A628" s="87"/>
      <c r="B628" s="87"/>
      <c r="C628" s="87"/>
      <c r="D628" s="87"/>
      <c r="E628" s="87"/>
      <c r="F628" s="87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>
      <c r="A629" s="87"/>
      <c r="B629" s="87"/>
      <c r="C629" s="87"/>
      <c r="D629" s="87"/>
      <c r="E629" s="87"/>
      <c r="F629" s="87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>
      <c r="A630" s="87"/>
      <c r="B630" s="87"/>
      <c r="C630" s="87"/>
      <c r="D630" s="87"/>
      <c r="E630" s="87"/>
      <c r="F630" s="87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>
      <c r="A631" s="87"/>
      <c r="B631" s="87"/>
      <c r="C631" s="87"/>
      <c r="D631" s="87"/>
      <c r="E631" s="87"/>
      <c r="F631" s="87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>
      <c r="A632" s="87"/>
      <c r="B632" s="87"/>
      <c r="C632" s="87"/>
      <c r="D632" s="87"/>
      <c r="E632" s="87"/>
      <c r="F632" s="87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>
      <c r="A633" s="87"/>
      <c r="B633" s="87"/>
      <c r="C633" s="87"/>
      <c r="D633" s="87"/>
      <c r="E633" s="87"/>
      <c r="F633" s="87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>
      <c r="A634" s="87"/>
      <c r="B634" s="87"/>
      <c r="C634" s="87"/>
      <c r="D634" s="87"/>
      <c r="E634" s="87"/>
      <c r="F634" s="87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>
      <c r="A635" s="87"/>
      <c r="B635" s="87"/>
      <c r="C635" s="87"/>
      <c r="D635" s="87"/>
      <c r="E635" s="87"/>
      <c r="F635" s="87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>
      <c r="A636" s="87"/>
      <c r="B636" s="87"/>
      <c r="C636" s="87"/>
      <c r="D636" s="87"/>
      <c r="E636" s="87"/>
      <c r="F636" s="87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>
      <c r="A637" s="87"/>
      <c r="B637" s="87"/>
      <c r="C637" s="87"/>
      <c r="D637" s="87"/>
      <c r="E637" s="87"/>
      <c r="F637" s="87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>
      <c r="A638" s="87"/>
      <c r="B638" s="87"/>
      <c r="C638" s="87"/>
      <c r="D638" s="87"/>
      <c r="E638" s="87"/>
      <c r="F638" s="87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>
      <c r="A639" s="87"/>
      <c r="B639" s="87"/>
      <c r="C639" s="87"/>
      <c r="D639" s="87"/>
      <c r="E639" s="87"/>
      <c r="F639" s="87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>
      <c r="A640" s="87"/>
      <c r="B640" s="87"/>
      <c r="C640" s="87"/>
      <c r="D640" s="87"/>
      <c r="E640" s="87"/>
      <c r="F640" s="87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>
      <c r="A641" s="87"/>
      <c r="B641" s="87"/>
      <c r="C641" s="87"/>
      <c r="D641" s="87"/>
      <c r="E641" s="87"/>
      <c r="F641" s="87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>
      <c r="A642" s="87"/>
      <c r="B642" s="87"/>
      <c r="C642" s="87"/>
      <c r="D642" s="87"/>
      <c r="E642" s="87"/>
      <c r="F642" s="87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>
      <c r="A643" s="87"/>
      <c r="B643" s="87"/>
      <c r="C643" s="87"/>
      <c r="D643" s="87"/>
      <c r="E643" s="87"/>
      <c r="F643" s="87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>
      <c r="A644" s="87"/>
      <c r="B644" s="87"/>
      <c r="C644" s="87"/>
      <c r="D644" s="87"/>
      <c r="E644" s="87"/>
      <c r="F644" s="87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>
      <c r="A645" s="87"/>
      <c r="B645" s="87"/>
      <c r="C645" s="87"/>
      <c r="D645" s="87"/>
      <c r="E645" s="87"/>
      <c r="F645" s="87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>
      <c r="A646" s="87"/>
      <c r="B646" s="87"/>
      <c r="C646" s="87"/>
      <c r="D646" s="87"/>
      <c r="E646" s="87"/>
      <c r="F646" s="87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>
      <c r="A647" s="87"/>
      <c r="B647" s="87"/>
      <c r="C647" s="87"/>
      <c r="D647" s="87"/>
      <c r="E647" s="87"/>
      <c r="F647" s="87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>
      <c r="A648" s="87"/>
      <c r="B648" s="87"/>
      <c r="C648" s="87"/>
      <c r="D648" s="87"/>
      <c r="E648" s="87"/>
      <c r="F648" s="87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>
      <c r="A649" s="87"/>
      <c r="B649" s="87"/>
      <c r="C649" s="87"/>
      <c r="D649" s="87"/>
      <c r="E649" s="87"/>
      <c r="F649" s="87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>
      <c r="A650" s="87"/>
      <c r="B650" s="87"/>
      <c r="C650" s="87"/>
      <c r="D650" s="87"/>
      <c r="E650" s="87"/>
      <c r="F650" s="87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>
      <c r="A651" s="87"/>
      <c r="B651" s="87"/>
      <c r="C651" s="87"/>
      <c r="D651" s="87"/>
      <c r="E651" s="87"/>
      <c r="F651" s="87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>
      <c r="A652" s="87"/>
      <c r="B652" s="87"/>
      <c r="C652" s="87"/>
      <c r="D652" s="87"/>
      <c r="E652" s="87"/>
      <c r="F652" s="87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>
      <c r="A653" s="87"/>
      <c r="B653" s="87"/>
      <c r="C653" s="87"/>
      <c r="D653" s="87"/>
      <c r="E653" s="87"/>
      <c r="F653" s="87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>
      <c r="A654" s="87"/>
      <c r="B654" s="87"/>
      <c r="C654" s="87"/>
      <c r="D654" s="87"/>
      <c r="E654" s="87"/>
      <c r="F654" s="87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>
      <c r="A655" s="87"/>
      <c r="B655" s="87"/>
      <c r="C655" s="87"/>
      <c r="D655" s="87"/>
      <c r="E655" s="87"/>
      <c r="F655" s="87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>
      <c r="A656" s="87"/>
      <c r="B656" s="87"/>
      <c r="C656" s="87"/>
      <c r="D656" s="87"/>
      <c r="E656" s="87"/>
      <c r="F656" s="87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>
      <c r="A657" s="87"/>
      <c r="B657" s="87"/>
      <c r="C657" s="87"/>
      <c r="D657" s="87"/>
      <c r="E657" s="87"/>
      <c r="F657" s="87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>
      <c r="A658" s="87"/>
      <c r="B658" s="87"/>
      <c r="C658" s="87"/>
      <c r="D658" s="87"/>
      <c r="E658" s="87"/>
      <c r="F658" s="87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>
      <c r="A659" s="87"/>
      <c r="B659" s="87"/>
      <c r="C659" s="87"/>
      <c r="D659" s="87"/>
      <c r="E659" s="87"/>
      <c r="F659" s="87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>
      <c r="A660" s="87"/>
      <c r="B660" s="87"/>
      <c r="C660" s="87"/>
      <c r="D660" s="87"/>
      <c r="E660" s="87"/>
      <c r="F660" s="87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>
      <c r="A661" s="87"/>
      <c r="B661" s="87"/>
      <c r="C661" s="87"/>
      <c r="D661" s="87"/>
      <c r="E661" s="87"/>
      <c r="F661" s="87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>
      <c r="A662" s="87"/>
      <c r="B662" s="87"/>
      <c r="C662" s="87"/>
      <c r="D662" s="87"/>
      <c r="E662" s="87"/>
      <c r="F662" s="87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>
      <c r="A663" s="87"/>
      <c r="B663" s="87"/>
      <c r="C663" s="87"/>
      <c r="D663" s="87"/>
      <c r="E663" s="87"/>
      <c r="F663" s="87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>
      <c r="A664" s="87"/>
      <c r="B664" s="87"/>
      <c r="C664" s="87"/>
      <c r="D664" s="87"/>
      <c r="E664" s="87"/>
      <c r="F664" s="87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>
      <c r="A665" s="87"/>
      <c r="B665" s="87"/>
      <c r="C665" s="87"/>
      <c r="D665" s="87"/>
      <c r="E665" s="87"/>
      <c r="F665" s="87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>
      <c r="A666" s="87"/>
      <c r="B666" s="87"/>
      <c r="C666" s="87"/>
      <c r="D666" s="87"/>
      <c r="E666" s="87"/>
      <c r="F666" s="87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>
      <c r="A667" s="87"/>
      <c r="B667" s="87"/>
      <c r="C667" s="87"/>
      <c r="D667" s="87"/>
      <c r="E667" s="87"/>
      <c r="F667" s="87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>
      <c r="A668" s="87"/>
      <c r="B668" s="87"/>
      <c r="C668" s="87"/>
      <c r="D668" s="87"/>
      <c r="E668" s="87"/>
      <c r="F668" s="87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>
      <c r="A669" s="87"/>
      <c r="B669" s="87"/>
      <c r="C669" s="87"/>
      <c r="D669" s="87"/>
      <c r="E669" s="87"/>
      <c r="F669" s="87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>
      <c r="A670" s="87"/>
      <c r="B670" s="87"/>
      <c r="C670" s="87"/>
      <c r="D670" s="87"/>
      <c r="E670" s="87"/>
      <c r="F670" s="87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>
      <c r="A671" s="87"/>
      <c r="B671" s="87"/>
      <c r="C671" s="87"/>
      <c r="D671" s="87"/>
      <c r="E671" s="87"/>
      <c r="F671" s="87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>
      <c r="A672" s="87"/>
      <c r="B672" s="87"/>
      <c r="C672" s="87"/>
      <c r="D672" s="87"/>
      <c r="E672" s="87"/>
      <c r="F672" s="87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>
      <c r="A673" s="87"/>
      <c r="B673" s="87"/>
      <c r="C673" s="87"/>
      <c r="D673" s="87"/>
      <c r="E673" s="87"/>
      <c r="F673" s="87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>
      <c r="A674" s="87"/>
      <c r="B674" s="87"/>
      <c r="C674" s="87"/>
      <c r="D674" s="87"/>
      <c r="E674" s="87"/>
      <c r="F674" s="87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>
      <c r="A675" s="87"/>
      <c r="B675" s="87"/>
      <c r="C675" s="87"/>
      <c r="D675" s="87"/>
      <c r="E675" s="87"/>
      <c r="F675" s="87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>
      <c r="A676" s="87"/>
      <c r="B676" s="87"/>
      <c r="C676" s="87"/>
      <c r="D676" s="87"/>
      <c r="E676" s="87"/>
      <c r="F676" s="87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>
      <c r="A677" s="87"/>
      <c r="B677" s="87"/>
      <c r="C677" s="87"/>
      <c r="D677" s="87"/>
      <c r="E677" s="87"/>
      <c r="F677" s="87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>
      <c r="A678" s="87"/>
      <c r="B678" s="87"/>
      <c r="C678" s="87"/>
      <c r="D678" s="87"/>
      <c r="E678" s="87"/>
      <c r="F678" s="87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>
      <c r="A679" s="87"/>
      <c r="B679" s="87"/>
      <c r="C679" s="87"/>
      <c r="D679" s="87"/>
      <c r="E679" s="87"/>
      <c r="F679" s="87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>
      <c r="A680" s="87"/>
      <c r="B680" s="87"/>
      <c r="C680" s="87"/>
      <c r="D680" s="87"/>
      <c r="E680" s="87"/>
      <c r="F680" s="87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>
      <c r="A681" s="87"/>
      <c r="B681" s="87"/>
      <c r="C681" s="87"/>
      <c r="D681" s="87"/>
      <c r="E681" s="87"/>
      <c r="F681" s="87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>
      <c r="A682" s="87"/>
      <c r="B682" s="87"/>
      <c r="C682" s="87"/>
      <c r="D682" s="87"/>
      <c r="E682" s="87"/>
      <c r="F682" s="87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>
      <c r="A683" s="87"/>
      <c r="B683" s="87"/>
      <c r="C683" s="87"/>
      <c r="D683" s="87"/>
      <c r="E683" s="87"/>
      <c r="F683" s="87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>
      <c r="A684" s="87"/>
      <c r="B684" s="87"/>
      <c r="C684" s="87"/>
      <c r="D684" s="87"/>
      <c r="E684" s="87"/>
      <c r="F684" s="87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>
      <c r="A685" s="87"/>
      <c r="B685" s="87"/>
      <c r="C685" s="87"/>
      <c r="D685" s="87"/>
      <c r="E685" s="87"/>
      <c r="F685" s="87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>
      <c r="A686" s="87"/>
      <c r="B686" s="87"/>
      <c r="C686" s="87"/>
      <c r="D686" s="87"/>
      <c r="E686" s="87"/>
      <c r="F686" s="87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>
      <c r="A687" s="87"/>
      <c r="B687" s="87"/>
      <c r="C687" s="87"/>
      <c r="D687" s="87"/>
      <c r="E687" s="87"/>
      <c r="F687" s="87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>
      <c r="A688" s="87"/>
      <c r="B688" s="87"/>
      <c r="C688" s="87"/>
      <c r="D688" s="87"/>
      <c r="E688" s="87"/>
      <c r="F688" s="87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>
      <c r="A689" s="87"/>
      <c r="B689" s="87"/>
      <c r="C689" s="87"/>
      <c r="D689" s="87"/>
      <c r="E689" s="87"/>
      <c r="F689" s="87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>
      <c r="A690" s="87"/>
      <c r="B690" s="87"/>
      <c r="C690" s="87"/>
      <c r="D690" s="87"/>
      <c r="E690" s="87"/>
      <c r="F690" s="87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>
      <c r="A691" s="87"/>
      <c r="B691" s="87"/>
      <c r="C691" s="87"/>
      <c r="D691" s="87"/>
      <c r="E691" s="87"/>
      <c r="F691" s="87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>
      <c r="A692" s="87"/>
      <c r="B692" s="87"/>
      <c r="C692" s="87"/>
      <c r="D692" s="87"/>
      <c r="E692" s="87"/>
      <c r="F692" s="87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>
      <c r="A693" s="87"/>
      <c r="B693" s="87"/>
      <c r="C693" s="87"/>
      <c r="D693" s="87"/>
      <c r="E693" s="87"/>
      <c r="F693" s="87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>
      <c r="A694" s="87"/>
      <c r="B694" s="87"/>
      <c r="C694" s="87"/>
      <c r="D694" s="87"/>
      <c r="E694" s="87"/>
      <c r="F694" s="87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>
      <c r="A695" s="87"/>
      <c r="B695" s="87"/>
      <c r="C695" s="87"/>
      <c r="D695" s="87"/>
      <c r="E695" s="87"/>
      <c r="F695" s="87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>
      <c r="A696" s="87"/>
      <c r="B696" s="87"/>
      <c r="C696" s="87"/>
      <c r="D696" s="87"/>
      <c r="E696" s="87"/>
      <c r="F696" s="87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>
      <c r="A697" s="87"/>
      <c r="B697" s="87"/>
      <c r="C697" s="87"/>
      <c r="D697" s="87"/>
      <c r="E697" s="87"/>
      <c r="F697" s="87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>
      <c r="A698" s="87"/>
      <c r="B698" s="87"/>
      <c r="C698" s="87"/>
      <c r="D698" s="87"/>
      <c r="E698" s="87"/>
      <c r="F698" s="87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>
      <c r="A699" s="87"/>
      <c r="B699" s="87"/>
      <c r="C699" s="87"/>
      <c r="D699" s="87"/>
      <c r="E699" s="87"/>
      <c r="F699" s="87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>
      <c r="A700" s="87"/>
      <c r="B700" s="87"/>
      <c r="C700" s="87"/>
      <c r="D700" s="87"/>
      <c r="E700" s="87"/>
      <c r="F700" s="87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>
      <c r="A701" s="87"/>
      <c r="B701" s="87"/>
      <c r="C701" s="87"/>
      <c r="D701" s="87"/>
      <c r="E701" s="87"/>
      <c r="F701" s="87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>
      <c r="A702" s="87"/>
      <c r="B702" s="87"/>
      <c r="C702" s="87"/>
      <c r="D702" s="87"/>
      <c r="E702" s="87"/>
      <c r="F702" s="87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>
      <c r="A703" s="87"/>
      <c r="B703" s="87"/>
      <c r="C703" s="87"/>
      <c r="D703" s="87"/>
      <c r="E703" s="87"/>
      <c r="F703" s="87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>
      <c r="A704" s="87"/>
      <c r="B704" s="87"/>
      <c r="C704" s="87"/>
      <c r="D704" s="87"/>
      <c r="E704" s="87"/>
      <c r="F704" s="87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>
      <c r="A705" s="87"/>
      <c r="B705" s="87"/>
      <c r="C705" s="87"/>
      <c r="D705" s="87"/>
      <c r="E705" s="87"/>
      <c r="F705" s="87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>
      <c r="A706" s="87"/>
      <c r="B706" s="87"/>
      <c r="C706" s="87"/>
      <c r="D706" s="87"/>
      <c r="E706" s="87"/>
      <c r="F706" s="87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>
      <c r="A707" s="87"/>
      <c r="B707" s="87"/>
      <c r="C707" s="87"/>
      <c r="D707" s="87"/>
      <c r="E707" s="87"/>
      <c r="F707" s="87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>
      <c r="A708" s="87"/>
      <c r="B708" s="87"/>
      <c r="C708" s="87"/>
      <c r="D708" s="87"/>
      <c r="E708" s="87"/>
      <c r="F708" s="87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>
      <c r="A709" s="87"/>
      <c r="B709" s="87"/>
      <c r="C709" s="87"/>
      <c r="D709" s="87"/>
      <c r="E709" s="87"/>
      <c r="F709" s="87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>
      <c r="A710" s="87"/>
      <c r="B710" s="87"/>
      <c r="C710" s="87"/>
      <c r="D710" s="87"/>
      <c r="E710" s="87"/>
      <c r="F710" s="87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>
      <c r="A711" s="87"/>
      <c r="B711" s="87"/>
      <c r="C711" s="87"/>
      <c r="D711" s="87"/>
      <c r="E711" s="87"/>
      <c r="F711" s="87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>
      <c r="A712" s="87"/>
      <c r="B712" s="87"/>
      <c r="C712" s="87"/>
      <c r="D712" s="87"/>
      <c r="E712" s="87"/>
      <c r="F712" s="87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>
      <c r="A713" s="87"/>
      <c r="B713" s="87"/>
      <c r="C713" s="87"/>
      <c r="D713" s="87"/>
      <c r="E713" s="87"/>
      <c r="F713" s="87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>
      <c r="A714" s="87"/>
      <c r="B714" s="87"/>
      <c r="C714" s="87"/>
      <c r="D714" s="87"/>
      <c r="E714" s="87"/>
      <c r="F714" s="87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>
      <c r="A715" s="87"/>
      <c r="B715" s="87"/>
      <c r="C715" s="87"/>
      <c r="D715" s="87"/>
      <c r="E715" s="87"/>
      <c r="F715" s="87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>
      <c r="A716" s="87"/>
      <c r="B716" s="87"/>
      <c r="C716" s="87"/>
      <c r="D716" s="87"/>
      <c r="E716" s="87"/>
      <c r="F716" s="87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>
      <c r="A717" s="87"/>
      <c r="B717" s="87"/>
      <c r="C717" s="87"/>
      <c r="D717" s="87"/>
      <c r="E717" s="87"/>
      <c r="F717" s="87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>
      <c r="A718" s="87"/>
      <c r="B718" s="87"/>
      <c r="C718" s="87"/>
      <c r="D718" s="87"/>
      <c r="E718" s="87"/>
      <c r="F718" s="87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>
      <c r="A719" s="87"/>
      <c r="B719" s="87"/>
      <c r="C719" s="87"/>
      <c r="D719" s="87"/>
      <c r="E719" s="87"/>
      <c r="F719" s="87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>
      <c r="A720" s="87"/>
      <c r="B720" s="87"/>
      <c r="C720" s="87"/>
      <c r="D720" s="87"/>
      <c r="E720" s="87"/>
      <c r="F720" s="87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>
      <c r="A721" s="87"/>
      <c r="B721" s="87"/>
      <c r="C721" s="87"/>
      <c r="D721" s="87"/>
      <c r="E721" s="87"/>
      <c r="F721" s="87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>
      <c r="A722" s="87"/>
      <c r="B722" s="87"/>
      <c r="C722" s="87"/>
      <c r="D722" s="87"/>
      <c r="E722" s="87"/>
      <c r="F722" s="87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>
      <c r="A723" s="87"/>
      <c r="B723" s="87"/>
      <c r="C723" s="87"/>
      <c r="D723" s="87"/>
      <c r="E723" s="87"/>
      <c r="F723" s="87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>
      <c r="A724" s="87"/>
      <c r="B724" s="87"/>
      <c r="C724" s="87"/>
      <c r="D724" s="87"/>
      <c r="E724" s="87"/>
      <c r="F724" s="87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>
      <c r="A725" s="87"/>
      <c r="B725" s="87"/>
      <c r="C725" s="87"/>
      <c r="D725" s="87"/>
      <c r="E725" s="87"/>
      <c r="F725" s="87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>
      <c r="A726" s="87"/>
      <c r="B726" s="87"/>
      <c r="C726" s="87"/>
      <c r="D726" s="87"/>
      <c r="E726" s="87"/>
      <c r="F726" s="87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>
      <c r="A727" s="87"/>
      <c r="B727" s="87"/>
      <c r="C727" s="87"/>
      <c r="D727" s="87"/>
      <c r="E727" s="87"/>
      <c r="F727" s="87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>
      <c r="A728" s="87"/>
      <c r="B728" s="87"/>
      <c r="C728" s="87"/>
      <c r="D728" s="87"/>
      <c r="E728" s="87"/>
      <c r="F728" s="87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>
      <c r="A729" s="87"/>
      <c r="B729" s="87"/>
      <c r="C729" s="87"/>
      <c r="D729" s="87"/>
      <c r="E729" s="87"/>
      <c r="F729" s="87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>
      <c r="A730" s="87"/>
      <c r="B730" s="87"/>
      <c r="C730" s="87"/>
      <c r="D730" s="87"/>
      <c r="E730" s="87"/>
      <c r="F730" s="87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>
      <c r="A731" s="87"/>
      <c r="B731" s="87"/>
      <c r="C731" s="87"/>
      <c r="D731" s="87"/>
      <c r="E731" s="87"/>
      <c r="F731" s="87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>
      <c r="A732" s="87"/>
      <c r="B732" s="87"/>
      <c r="C732" s="87"/>
      <c r="D732" s="87"/>
      <c r="E732" s="87"/>
      <c r="F732" s="87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>
      <c r="A733" s="87"/>
      <c r="B733" s="87"/>
      <c r="C733" s="87"/>
      <c r="D733" s="87"/>
      <c r="E733" s="87"/>
      <c r="F733" s="87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>
      <c r="A734" s="87"/>
      <c r="B734" s="87"/>
      <c r="C734" s="87"/>
      <c r="D734" s="87"/>
      <c r="E734" s="87"/>
      <c r="F734" s="87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>
      <c r="A735" s="87"/>
      <c r="B735" s="87"/>
      <c r="C735" s="87"/>
      <c r="D735" s="87"/>
      <c r="E735" s="87"/>
      <c r="F735" s="87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>
      <c r="A736" s="87"/>
      <c r="B736" s="87"/>
      <c r="C736" s="87"/>
      <c r="D736" s="87"/>
      <c r="E736" s="87"/>
      <c r="F736" s="87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>
      <c r="A737" s="87"/>
      <c r="B737" s="87"/>
      <c r="C737" s="87"/>
      <c r="D737" s="87"/>
      <c r="E737" s="87"/>
      <c r="F737" s="87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>
      <c r="A738" s="87"/>
      <c r="B738" s="87"/>
      <c r="C738" s="87"/>
      <c r="D738" s="87"/>
      <c r="E738" s="87"/>
      <c r="F738" s="87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>
      <c r="A739" s="87"/>
      <c r="B739" s="87"/>
      <c r="C739" s="87"/>
      <c r="D739" s="87"/>
      <c r="E739" s="87"/>
      <c r="F739" s="87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>
      <c r="A740" s="87"/>
      <c r="B740" s="87"/>
      <c r="C740" s="87"/>
      <c r="D740" s="87"/>
      <c r="E740" s="87"/>
      <c r="F740" s="87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>
      <c r="A741" s="87"/>
      <c r="B741" s="87"/>
      <c r="C741" s="87"/>
      <c r="D741" s="87"/>
      <c r="E741" s="87"/>
      <c r="F741" s="87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>
      <c r="A742" s="87"/>
      <c r="B742" s="87"/>
      <c r="C742" s="87"/>
      <c r="D742" s="87"/>
      <c r="E742" s="87"/>
      <c r="F742" s="87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>
      <c r="A743" s="87"/>
      <c r="B743" s="87"/>
      <c r="C743" s="87"/>
      <c r="D743" s="87"/>
      <c r="E743" s="87"/>
      <c r="F743" s="87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>
      <c r="A744" s="87"/>
      <c r="B744" s="87"/>
      <c r="C744" s="87"/>
      <c r="D744" s="87"/>
      <c r="E744" s="87"/>
      <c r="F744" s="87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>
      <c r="A745" s="87"/>
      <c r="B745" s="87"/>
      <c r="C745" s="87"/>
      <c r="D745" s="87"/>
      <c r="E745" s="87"/>
      <c r="F745" s="87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>
      <c r="A746" s="87"/>
      <c r="B746" s="87"/>
      <c r="C746" s="87"/>
      <c r="D746" s="87"/>
      <c r="E746" s="87"/>
      <c r="F746" s="87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>
      <c r="A747" s="87"/>
      <c r="B747" s="87"/>
      <c r="C747" s="87"/>
      <c r="D747" s="87"/>
      <c r="E747" s="87"/>
      <c r="F747" s="87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>
      <c r="A748" s="87"/>
      <c r="B748" s="87"/>
      <c r="C748" s="87"/>
      <c r="D748" s="87"/>
      <c r="E748" s="87"/>
      <c r="F748" s="87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>
      <c r="A749" s="87"/>
      <c r="B749" s="87"/>
      <c r="C749" s="87"/>
      <c r="D749" s="87"/>
      <c r="E749" s="87"/>
      <c r="F749" s="87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>
      <c r="A750" s="87"/>
      <c r="B750" s="87"/>
      <c r="C750" s="87"/>
      <c r="D750" s="87"/>
      <c r="E750" s="87"/>
      <c r="F750" s="87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>
      <c r="A751" s="87"/>
      <c r="B751" s="87"/>
      <c r="C751" s="87"/>
      <c r="D751" s="87"/>
      <c r="E751" s="87"/>
      <c r="F751" s="87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>
      <c r="A752" s="87"/>
      <c r="B752" s="87"/>
      <c r="C752" s="87"/>
      <c r="D752" s="87"/>
      <c r="E752" s="87"/>
      <c r="F752" s="87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>
      <c r="A753" s="87"/>
      <c r="B753" s="87"/>
      <c r="C753" s="87"/>
      <c r="D753" s="87"/>
      <c r="E753" s="87"/>
      <c r="F753" s="87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>
      <c r="A754" s="87"/>
      <c r="B754" s="87"/>
      <c r="C754" s="87"/>
      <c r="D754" s="87"/>
      <c r="E754" s="87"/>
      <c r="F754" s="87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>
      <c r="A755" s="87"/>
      <c r="B755" s="87"/>
      <c r="C755" s="87"/>
      <c r="D755" s="87"/>
      <c r="E755" s="87"/>
      <c r="F755" s="87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>
      <c r="A756" s="87"/>
      <c r="B756" s="87"/>
      <c r="C756" s="87"/>
      <c r="D756" s="87"/>
      <c r="E756" s="87"/>
      <c r="F756" s="87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>
      <c r="A757" s="87"/>
      <c r="B757" s="87"/>
      <c r="C757" s="87"/>
      <c r="D757" s="87"/>
      <c r="E757" s="87"/>
      <c r="F757" s="87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>
      <c r="A758" s="87"/>
      <c r="B758" s="87"/>
      <c r="C758" s="87"/>
      <c r="D758" s="87"/>
      <c r="E758" s="87"/>
      <c r="F758" s="87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>
      <c r="A759" s="87"/>
      <c r="B759" s="87"/>
      <c r="C759" s="87"/>
      <c r="D759" s="87"/>
      <c r="E759" s="87"/>
      <c r="F759" s="87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>
      <c r="A760" s="87"/>
      <c r="B760" s="87"/>
      <c r="C760" s="87"/>
      <c r="D760" s="87"/>
      <c r="E760" s="87"/>
      <c r="F760" s="87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>
      <c r="A761" s="87"/>
      <c r="B761" s="87"/>
      <c r="C761" s="87"/>
      <c r="D761" s="87"/>
      <c r="E761" s="87"/>
      <c r="F761" s="87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>
      <c r="A762" s="87"/>
      <c r="B762" s="87"/>
      <c r="C762" s="87"/>
      <c r="D762" s="87"/>
      <c r="E762" s="87"/>
      <c r="F762" s="87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>
      <c r="A763" s="87"/>
      <c r="B763" s="87"/>
      <c r="C763" s="87"/>
      <c r="D763" s="87"/>
      <c r="E763" s="87"/>
      <c r="F763" s="87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>
      <c r="A764" s="87"/>
      <c r="B764" s="87"/>
      <c r="C764" s="87"/>
      <c r="D764" s="87"/>
      <c r="E764" s="87"/>
      <c r="F764" s="87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>
      <c r="A765" s="87"/>
      <c r="B765" s="87"/>
      <c r="C765" s="87"/>
      <c r="D765" s="87"/>
      <c r="E765" s="87"/>
      <c r="F765" s="87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>
      <c r="A766" s="87"/>
      <c r="B766" s="87"/>
      <c r="C766" s="87"/>
      <c r="D766" s="87"/>
      <c r="E766" s="87"/>
      <c r="F766" s="87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>
      <c r="A767" s="87"/>
      <c r="B767" s="87"/>
      <c r="C767" s="87"/>
      <c r="D767" s="87"/>
      <c r="E767" s="87"/>
      <c r="F767" s="87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>
      <c r="A768" s="87"/>
      <c r="B768" s="87"/>
      <c r="C768" s="87"/>
      <c r="D768" s="87"/>
      <c r="E768" s="87"/>
      <c r="F768" s="87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>
      <c r="A769" s="87"/>
      <c r="B769" s="87"/>
      <c r="C769" s="87"/>
      <c r="D769" s="87"/>
      <c r="E769" s="87"/>
      <c r="F769" s="87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>
      <c r="A770" s="87"/>
      <c r="B770" s="87"/>
      <c r="C770" s="87"/>
      <c r="D770" s="87"/>
      <c r="E770" s="87"/>
      <c r="F770" s="87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>
      <c r="A771" s="87"/>
      <c r="B771" s="87"/>
      <c r="C771" s="87"/>
      <c r="D771" s="87"/>
      <c r="E771" s="87"/>
      <c r="F771" s="87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>
      <c r="A772" s="87"/>
      <c r="B772" s="87"/>
      <c r="C772" s="87"/>
      <c r="D772" s="87"/>
      <c r="E772" s="87"/>
      <c r="F772" s="87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>
      <c r="A773" s="87"/>
      <c r="B773" s="87"/>
      <c r="C773" s="87"/>
      <c r="D773" s="87"/>
      <c r="E773" s="87"/>
      <c r="F773" s="87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>
      <c r="A774" s="87"/>
      <c r="B774" s="87"/>
      <c r="C774" s="87"/>
      <c r="D774" s="87"/>
      <c r="E774" s="87"/>
      <c r="F774" s="87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>
      <c r="A775" s="87"/>
      <c r="B775" s="87"/>
      <c r="C775" s="87"/>
      <c r="D775" s="87"/>
      <c r="E775" s="87"/>
      <c r="F775" s="87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>
      <c r="A776" s="87"/>
      <c r="B776" s="87"/>
      <c r="C776" s="87"/>
      <c r="D776" s="87"/>
      <c r="E776" s="87"/>
      <c r="F776" s="87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>
      <c r="A777" s="87"/>
      <c r="B777" s="87"/>
      <c r="C777" s="87"/>
      <c r="D777" s="87"/>
      <c r="E777" s="87"/>
      <c r="F777" s="87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>
      <c r="A778" s="87"/>
      <c r="B778" s="87"/>
      <c r="C778" s="87"/>
      <c r="D778" s="87"/>
      <c r="E778" s="87"/>
      <c r="F778" s="87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>
      <c r="A779" s="87"/>
      <c r="B779" s="87"/>
      <c r="C779" s="87"/>
      <c r="D779" s="87"/>
      <c r="E779" s="87"/>
      <c r="F779" s="87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>
      <c r="A780" s="87"/>
      <c r="B780" s="87"/>
      <c r="C780" s="87"/>
      <c r="D780" s="87"/>
      <c r="E780" s="87"/>
      <c r="F780" s="87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>
      <c r="A781" s="87"/>
      <c r="B781" s="87"/>
      <c r="C781" s="87"/>
      <c r="D781" s="87"/>
      <c r="E781" s="87"/>
      <c r="F781" s="87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>
      <c r="A782" s="87"/>
      <c r="B782" s="87"/>
      <c r="C782" s="87"/>
      <c r="D782" s="87"/>
      <c r="E782" s="87"/>
      <c r="F782" s="87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>
      <c r="A783" s="87"/>
      <c r="B783" s="87"/>
      <c r="C783" s="87"/>
      <c r="D783" s="87"/>
      <c r="E783" s="87"/>
      <c r="F783" s="87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>
      <c r="A784" s="87"/>
      <c r="B784" s="87"/>
      <c r="C784" s="87"/>
      <c r="D784" s="87"/>
      <c r="E784" s="87"/>
      <c r="F784" s="87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>
      <c r="A785" s="87"/>
      <c r="B785" s="87"/>
      <c r="C785" s="87"/>
      <c r="D785" s="87"/>
      <c r="E785" s="87"/>
      <c r="F785" s="87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>
      <c r="A786" s="87"/>
      <c r="B786" s="87"/>
      <c r="C786" s="87"/>
      <c r="D786" s="87"/>
      <c r="E786" s="87"/>
      <c r="F786" s="87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>
      <c r="A787" s="87"/>
      <c r="B787" s="87"/>
      <c r="C787" s="87"/>
      <c r="D787" s="87"/>
      <c r="E787" s="87"/>
      <c r="F787" s="87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>
      <c r="A788" s="87"/>
      <c r="B788" s="87"/>
      <c r="C788" s="87"/>
      <c r="D788" s="87"/>
      <c r="E788" s="87"/>
      <c r="F788" s="87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>
      <c r="A789" s="87"/>
      <c r="B789" s="87"/>
      <c r="C789" s="87"/>
      <c r="D789" s="87"/>
      <c r="E789" s="87"/>
      <c r="F789" s="87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>
      <c r="A790" s="87"/>
      <c r="B790" s="87"/>
      <c r="C790" s="87"/>
      <c r="D790" s="87"/>
      <c r="E790" s="87"/>
      <c r="F790" s="87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>
      <c r="A791" s="87"/>
      <c r="B791" s="87"/>
      <c r="C791" s="87"/>
      <c r="D791" s="87"/>
      <c r="E791" s="87"/>
      <c r="F791" s="87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>
      <c r="A792" s="87"/>
      <c r="B792" s="87"/>
      <c r="C792" s="87"/>
      <c r="D792" s="87"/>
      <c r="E792" s="87"/>
      <c r="F792" s="87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>
      <c r="A793" s="87"/>
      <c r="B793" s="87"/>
      <c r="C793" s="87"/>
      <c r="D793" s="87"/>
      <c r="E793" s="87"/>
      <c r="F793" s="87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>
      <c r="A794" s="87"/>
      <c r="B794" s="87"/>
      <c r="C794" s="87"/>
      <c r="D794" s="87"/>
      <c r="E794" s="87"/>
      <c r="F794" s="87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>
      <c r="A795" s="87"/>
      <c r="B795" s="87"/>
      <c r="C795" s="87"/>
      <c r="D795" s="87"/>
      <c r="E795" s="87"/>
      <c r="F795" s="87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>
      <c r="A796" s="87"/>
      <c r="B796" s="87"/>
      <c r="C796" s="87"/>
      <c r="D796" s="87"/>
      <c r="E796" s="87"/>
      <c r="F796" s="87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>
      <c r="A797" s="87"/>
      <c r="B797" s="87"/>
      <c r="C797" s="87"/>
      <c r="D797" s="87"/>
      <c r="E797" s="87"/>
      <c r="F797" s="87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>
      <c r="A798" s="87"/>
      <c r="B798" s="87"/>
      <c r="C798" s="87"/>
      <c r="D798" s="87"/>
      <c r="E798" s="87"/>
      <c r="F798" s="87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>
      <c r="A799" s="87"/>
      <c r="B799" s="87"/>
      <c r="C799" s="87"/>
      <c r="D799" s="87"/>
      <c r="E799" s="87"/>
      <c r="F799" s="87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>
      <c r="A800" s="87"/>
      <c r="B800" s="87"/>
      <c r="C800" s="87"/>
      <c r="D800" s="87"/>
      <c r="E800" s="87"/>
      <c r="F800" s="87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>
      <c r="A801" s="87"/>
      <c r="B801" s="87"/>
      <c r="C801" s="87"/>
      <c r="D801" s="87"/>
      <c r="E801" s="87"/>
      <c r="F801" s="87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>
      <c r="A802" s="87"/>
      <c r="B802" s="87"/>
      <c r="C802" s="87"/>
      <c r="D802" s="87"/>
      <c r="E802" s="87"/>
      <c r="F802" s="87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>
      <c r="A803" s="87"/>
      <c r="B803" s="87"/>
      <c r="C803" s="87"/>
      <c r="D803" s="87"/>
      <c r="E803" s="87"/>
      <c r="F803" s="87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>
      <c r="A804" s="87"/>
      <c r="B804" s="87"/>
      <c r="C804" s="87"/>
      <c r="D804" s="87"/>
      <c r="E804" s="87"/>
      <c r="F804" s="87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>
      <c r="A805" s="87"/>
      <c r="B805" s="87"/>
      <c r="C805" s="87"/>
      <c r="D805" s="87"/>
      <c r="E805" s="87"/>
      <c r="F805" s="87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>
      <c r="A806" s="87"/>
      <c r="B806" s="87"/>
      <c r="C806" s="87"/>
      <c r="D806" s="87"/>
      <c r="E806" s="87"/>
      <c r="F806" s="87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>
      <c r="A807" s="87"/>
      <c r="B807" s="87"/>
      <c r="C807" s="87"/>
      <c r="D807" s="87"/>
      <c r="E807" s="87"/>
      <c r="F807" s="87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>
      <c r="A808" s="87"/>
      <c r="B808" s="87"/>
      <c r="C808" s="87"/>
      <c r="D808" s="87"/>
      <c r="E808" s="87"/>
      <c r="F808" s="87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>
      <c r="A809" s="87"/>
      <c r="B809" s="87"/>
      <c r="C809" s="87"/>
      <c r="D809" s="87"/>
      <c r="E809" s="87"/>
      <c r="F809" s="87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>
      <c r="A810" s="87"/>
      <c r="B810" s="87"/>
      <c r="C810" s="87"/>
      <c r="D810" s="87"/>
      <c r="E810" s="87"/>
      <c r="F810" s="87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>
      <c r="A811" s="87"/>
      <c r="B811" s="87"/>
      <c r="C811" s="87"/>
      <c r="D811" s="87"/>
      <c r="E811" s="87"/>
      <c r="F811" s="87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>
      <c r="A812" s="87"/>
      <c r="B812" s="87"/>
      <c r="C812" s="87"/>
      <c r="D812" s="87"/>
      <c r="E812" s="87"/>
      <c r="F812" s="87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>
      <c r="A813" s="87"/>
      <c r="B813" s="87"/>
      <c r="C813" s="87"/>
      <c r="D813" s="87"/>
      <c r="E813" s="87"/>
      <c r="F813" s="87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>
      <c r="A814" s="87"/>
      <c r="B814" s="87"/>
      <c r="C814" s="87"/>
      <c r="D814" s="87"/>
      <c r="E814" s="87"/>
      <c r="F814" s="87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>
      <c r="A815" s="87"/>
      <c r="B815" s="87"/>
      <c r="C815" s="87"/>
      <c r="D815" s="87"/>
      <c r="E815" s="87"/>
      <c r="F815" s="87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>
      <c r="A816" s="87"/>
      <c r="B816" s="87"/>
      <c r="C816" s="87"/>
      <c r="D816" s="87"/>
      <c r="E816" s="87"/>
      <c r="F816" s="87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>
      <c r="A817" s="87"/>
      <c r="B817" s="87"/>
      <c r="C817" s="87"/>
      <c r="D817" s="87"/>
      <c r="E817" s="87"/>
      <c r="F817" s="87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>
      <c r="A818" s="87"/>
      <c r="B818" s="87"/>
      <c r="C818" s="87"/>
      <c r="D818" s="87"/>
      <c r="E818" s="87"/>
      <c r="F818" s="87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>
      <c r="A819" s="87"/>
      <c r="B819" s="87"/>
      <c r="C819" s="87"/>
      <c r="D819" s="87"/>
      <c r="E819" s="87"/>
      <c r="F819" s="87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>
      <c r="A820" s="87"/>
      <c r="B820" s="87"/>
      <c r="C820" s="87"/>
      <c r="D820" s="87"/>
      <c r="E820" s="87"/>
      <c r="F820" s="87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>
      <c r="A821" s="87"/>
      <c r="B821" s="87"/>
      <c r="C821" s="87"/>
      <c r="D821" s="87"/>
      <c r="E821" s="87"/>
      <c r="F821" s="87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>
      <c r="A822" s="87"/>
      <c r="B822" s="87"/>
      <c r="C822" s="87"/>
      <c r="D822" s="87"/>
      <c r="E822" s="87"/>
      <c r="F822" s="87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>
      <c r="A823" s="87"/>
      <c r="B823" s="87"/>
      <c r="C823" s="87"/>
      <c r="D823" s="87"/>
      <c r="E823" s="87"/>
      <c r="F823" s="87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>
      <c r="A824" s="87"/>
      <c r="B824" s="87"/>
      <c r="C824" s="87"/>
      <c r="D824" s="87"/>
      <c r="E824" s="87"/>
      <c r="F824" s="87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>
      <c r="A825" s="87"/>
      <c r="B825" s="87"/>
      <c r="C825" s="87"/>
      <c r="D825" s="87"/>
      <c r="E825" s="87"/>
      <c r="F825" s="87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>
      <c r="A826" s="87"/>
      <c r="B826" s="87"/>
      <c r="C826" s="87"/>
      <c r="D826" s="87"/>
      <c r="E826" s="87"/>
      <c r="F826" s="87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>
      <c r="A827" s="87"/>
      <c r="B827" s="87"/>
      <c r="C827" s="87"/>
      <c r="D827" s="87"/>
      <c r="E827" s="87"/>
      <c r="F827" s="87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>
      <c r="A828" s="87"/>
      <c r="B828" s="87"/>
      <c r="C828" s="87"/>
      <c r="D828" s="87"/>
      <c r="E828" s="87"/>
      <c r="F828" s="87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>
      <c r="A829" s="87"/>
      <c r="B829" s="87"/>
      <c r="C829" s="87"/>
      <c r="D829" s="87"/>
      <c r="E829" s="87"/>
      <c r="F829" s="87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>
      <c r="A830" s="87"/>
      <c r="B830" s="87"/>
      <c r="C830" s="87"/>
      <c r="D830" s="87"/>
      <c r="E830" s="87"/>
      <c r="F830" s="87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>
      <c r="A831" s="87"/>
      <c r="B831" s="87"/>
      <c r="C831" s="87"/>
      <c r="D831" s="87"/>
      <c r="E831" s="87"/>
      <c r="F831" s="87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>
      <c r="A832" s="87"/>
      <c r="B832" s="87"/>
      <c r="C832" s="87"/>
      <c r="D832" s="87"/>
      <c r="E832" s="87"/>
      <c r="F832" s="87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>
      <c r="A833" s="87"/>
      <c r="B833" s="87"/>
      <c r="C833" s="87"/>
      <c r="D833" s="87"/>
      <c r="E833" s="87"/>
      <c r="F833" s="87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>
      <c r="A834" s="87"/>
      <c r="B834" s="87"/>
      <c r="C834" s="87"/>
      <c r="D834" s="87"/>
      <c r="E834" s="87"/>
      <c r="F834" s="87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>
      <c r="A835" s="87"/>
      <c r="B835" s="87"/>
      <c r="C835" s="87"/>
      <c r="D835" s="87"/>
      <c r="E835" s="87"/>
      <c r="F835" s="87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>
      <c r="A836" s="87"/>
      <c r="B836" s="87"/>
      <c r="C836" s="87"/>
      <c r="D836" s="87"/>
      <c r="E836" s="87"/>
      <c r="F836" s="87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>
      <c r="A837" s="87"/>
      <c r="B837" s="87"/>
      <c r="C837" s="87"/>
      <c r="D837" s="87"/>
      <c r="E837" s="87"/>
      <c r="F837" s="87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>
      <c r="A838" s="87"/>
      <c r="B838" s="87"/>
      <c r="C838" s="87"/>
      <c r="D838" s="87"/>
      <c r="E838" s="87"/>
      <c r="F838" s="87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>
      <c r="A839" s="87"/>
      <c r="B839" s="87"/>
      <c r="C839" s="87"/>
      <c r="D839" s="87"/>
      <c r="E839" s="87"/>
      <c r="F839" s="87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>
      <c r="A840" s="87"/>
      <c r="B840" s="87"/>
      <c r="C840" s="87"/>
      <c r="D840" s="87"/>
      <c r="E840" s="87"/>
      <c r="F840" s="87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>
      <c r="A841" s="87"/>
      <c r="B841" s="87"/>
      <c r="C841" s="87"/>
      <c r="D841" s="87"/>
      <c r="E841" s="87"/>
      <c r="F841" s="87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>
      <c r="A842" s="87"/>
      <c r="B842" s="87"/>
      <c r="C842" s="87"/>
      <c r="D842" s="87"/>
      <c r="E842" s="87"/>
      <c r="F842" s="87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>
      <c r="A843" s="87"/>
      <c r="B843" s="87"/>
      <c r="C843" s="87"/>
      <c r="D843" s="87"/>
      <c r="E843" s="87"/>
      <c r="F843" s="87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>
      <c r="A844" s="87"/>
      <c r="B844" s="87"/>
      <c r="C844" s="87"/>
      <c r="D844" s="87"/>
      <c r="E844" s="87"/>
      <c r="F844" s="87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>
      <c r="A845" s="87"/>
      <c r="B845" s="87"/>
      <c r="C845" s="87"/>
      <c r="D845" s="87"/>
      <c r="E845" s="87"/>
      <c r="F845" s="87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>
      <c r="A846" s="87"/>
      <c r="B846" s="87"/>
      <c r="C846" s="87"/>
      <c r="D846" s="87"/>
      <c r="E846" s="87"/>
      <c r="F846" s="87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>
      <c r="A847" s="87"/>
      <c r="B847" s="87"/>
      <c r="C847" s="87"/>
      <c r="D847" s="87"/>
      <c r="E847" s="87"/>
      <c r="F847" s="87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>
      <c r="A848" s="87"/>
      <c r="B848" s="87"/>
      <c r="C848" s="87"/>
      <c r="D848" s="87"/>
      <c r="E848" s="87"/>
      <c r="F848" s="87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>
      <c r="A849" s="87"/>
      <c r="B849" s="87"/>
      <c r="C849" s="87"/>
      <c r="D849" s="87"/>
      <c r="E849" s="87"/>
      <c r="F849" s="87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>
      <c r="A850" s="87"/>
      <c r="B850" s="87"/>
      <c r="C850" s="87"/>
      <c r="D850" s="87"/>
      <c r="E850" s="87"/>
      <c r="F850" s="87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>
      <c r="A851" s="87"/>
      <c r="B851" s="87"/>
      <c r="C851" s="87"/>
      <c r="D851" s="87"/>
      <c r="E851" s="87"/>
      <c r="F851" s="87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>
      <c r="A852" s="87"/>
      <c r="B852" s="87"/>
      <c r="C852" s="87"/>
      <c r="D852" s="87"/>
      <c r="E852" s="87"/>
      <c r="F852" s="87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>
      <c r="A853" s="87"/>
      <c r="B853" s="87"/>
      <c r="C853" s="87"/>
      <c r="D853" s="87"/>
      <c r="E853" s="87"/>
      <c r="F853" s="87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>
      <c r="A854" s="87"/>
      <c r="B854" s="87"/>
      <c r="C854" s="87"/>
      <c r="D854" s="87"/>
      <c r="E854" s="87"/>
      <c r="F854" s="87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>
      <c r="A855" s="87"/>
      <c r="B855" s="87"/>
      <c r="C855" s="87"/>
      <c r="D855" s="87"/>
      <c r="E855" s="87"/>
      <c r="F855" s="87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>
      <c r="A856" s="87"/>
      <c r="B856" s="87"/>
      <c r="C856" s="87"/>
      <c r="D856" s="87"/>
      <c r="E856" s="87"/>
      <c r="F856" s="87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>
      <c r="A857" s="87"/>
      <c r="B857" s="87"/>
      <c r="C857" s="87"/>
      <c r="D857" s="87"/>
      <c r="E857" s="87"/>
      <c r="F857" s="87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>
      <c r="A858" s="87"/>
      <c r="B858" s="87"/>
      <c r="C858" s="87"/>
      <c r="D858" s="87"/>
      <c r="E858" s="87"/>
      <c r="F858" s="87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>
      <c r="A859" s="87"/>
      <c r="B859" s="87"/>
      <c r="C859" s="87"/>
      <c r="D859" s="87"/>
      <c r="E859" s="87"/>
      <c r="F859" s="87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>
      <c r="A860" s="87"/>
      <c r="B860" s="87"/>
      <c r="C860" s="87"/>
      <c r="D860" s="87"/>
      <c r="E860" s="87"/>
      <c r="F860" s="87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>
      <c r="A861" s="87"/>
      <c r="B861" s="87"/>
      <c r="C861" s="87"/>
      <c r="D861" s="87"/>
      <c r="E861" s="87"/>
      <c r="F861" s="87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>
      <c r="A862" s="87"/>
      <c r="B862" s="87"/>
      <c r="C862" s="87"/>
      <c r="D862" s="87"/>
      <c r="E862" s="87"/>
      <c r="F862" s="87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>
      <c r="A863" s="87"/>
      <c r="B863" s="87"/>
      <c r="C863" s="87"/>
      <c r="D863" s="87"/>
      <c r="E863" s="87"/>
      <c r="F863" s="87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>
      <c r="A864" s="87"/>
      <c r="B864" s="87"/>
      <c r="C864" s="87"/>
      <c r="D864" s="87"/>
      <c r="E864" s="87"/>
      <c r="F864" s="87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>
      <c r="A865" s="87"/>
      <c r="B865" s="87"/>
      <c r="C865" s="87"/>
      <c r="D865" s="87"/>
      <c r="E865" s="87"/>
      <c r="F865" s="87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>
      <c r="A866" s="87"/>
      <c r="B866" s="87"/>
      <c r="C866" s="87"/>
      <c r="D866" s="87"/>
      <c r="E866" s="87"/>
      <c r="F866" s="87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>
      <c r="A867" s="87"/>
      <c r="B867" s="87"/>
      <c r="C867" s="87"/>
      <c r="D867" s="87"/>
      <c r="E867" s="87"/>
      <c r="F867" s="87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>
      <c r="A868" s="87"/>
      <c r="B868" s="87"/>
      <c r="C868" s="87"/>
      <c r="D868" s="87"/>
      <c r="E868" s="87"/>
      <c r="F868" s="87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>
      <c r="A869" s="87"/>
      <c r="B869" s="87"/>
      <c r="C869" s="87"/>
      <c r="D869" s="87"/>
      <c r="E869" s="87"/>
      <c r="F869" s="87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>
      <c r="A870" s="87"/>
      <c r="B870" s="87"/>
      <c r="C870" s="87"/>
      <c r="D870" s="87"/>
      <c r="E870" s="87"/>
      <c r="F870" s="87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>
      <c r="A871" s="87"/>
      <c r="B871" s="87"/>
      <c r="C871" s="87"/>
      <c r="D871" s="87"/>
      <c r="E871" s="87"/>
      <c r="F871" s="87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>
      <c r="A872" s="87"/>
      <c r="B872" s="87"/>
      <c r="C872" s="87"/>
      <c r="D872" s="87"/>
      <c r="E872" s="87"/>
      <c r="F872" s="87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>
      <c r="A873" s="87"/>
      <c r="B873" s="87"/>
      <c r="C873" s="87"/>
      <c r="D873" s="87"/>
      <c r="E873" s="87"/>
      <c r="F873" s="87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>
      <c r="A874" s="87"/>
      <c r="B874" s="87"/>
      <c r="C874" s="87"/>
      <c r="D874" s="87"/>
      <c r="E874" s="87"/>
      <c r="F874" s="87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>
      <c r="A875" s="87"/>
      <c r="B875" s="87"/>
      <c r="C875" s="87"/>
      <c r="D875" s="87"/>
      <c r="E875" s="87"/>
      <c r="F875" s="87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>
      <c r="A876" s="87"/>
      <c r="B876" s="87"/>
      <c r="C876" s="87"/>
      <c r="D876" s="87"/>
      <c r="E876" s="87"/>
      <c r="F876" s="87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>
      <c r="A877" s="87"/>
      <c r="B877" s="87"/>
      <c r="C877" s="87"/>
      <c r="D877" s="87"/>
      <c r="E877" s="87"/>
      <c r="F877" s="87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>
      <c r="A878" s="87"/>
      <c r="B878" s="87"/>
      <c r="C878" s="87"/>
      <c r="D878" s="87"/>
      <c r="E878" s="87"/>
      <c r="F878" s="87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>
      <c r="A879" s="87"/>
      <c r="B879" s="87"/>
      <c r="C879" s="87"/>
      <c r="D879" s="87"/>
      <c r="E879" s="87"/>
      <c r="F879" s="87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>
      <c r="A880" s="87"/>
      <c r="B880" s="87"/>
      <c r="C880" s="87"/>
      <c r="D880" s="87"/>
      <c r="E880" s="87"/>
      <c r="F880" s="87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>
      <c r="A881" s="87"/>
      <c r="B881" s="87"/>
      <c r="C881" s="87"/>
      <c r="D881" s="87"/>
      <c r="E881" s="87"/>
      <c r="F881" s="87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>
      <c r="A882" s="87"/>
      <c r="B882" s="87"/>
      <c r="C882" s="87"/>
      <c r="D882" s="87"/>
      <c r="E882" s="87"/>
      <c r="F882" s="87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>
      <c r="A883" s="87"/>
      <c r="B883" s="87"/>
      <c r="C883" s="87"/>
      <c r="D883" s="87"/>
      <c r="E883" s="87"/>
      <c r="F883" s="87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>
      <c r="A884" s="87"/>
      <c r="B884" s="87"/>
      <c r="C884" s="87"/>
      <c r="D884" s="87"/>
      <c r="E884" s="87"/>
      <c r="F884" s="87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>
      <c r="A885" s="87"/>
      <c r="B885" s="87"/>
      <c r="C885" s="87"/>
      <c r="D885" s="87"/>
      <c r="E885" s="87"/>
      <c r="F885" s="87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>
      <c r="A886" s="87"/>
      <c r="B886" s="87"/>
      <c r="C886" s="87"/>
      <c r="D886" s="87"/>
      <c r="E886" s="87"/>
      <c r="F886" s="87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>
      <c r="A887" s="87"/>
      <c r="B887" s="87"/>
      <c r="C887" s="87"/>
      <c r="D887" s="87"/>
      <c r="E887" s="87"/>
      <c r="F887" s="87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>
      <c r="A888" s="87"/>
      <c r="B888" s="87"/>
      <c r="C888" s="87"/>
      <c r="D888" s="87"/>
      <c r="E888" s="87"/>
      <c r="F888" s="87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>
      <c r="A889" s="87"/>
      <c r="B889" s="87"/>
      <c r="C889" s="87"/>
      <c r="D889" s="87"/>
      <c r="E889" s="87"/>
      <c r="F889" s="87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>
      <c r="A890" s="87"/>
      <c r="B890" s="87"/>
      <c r="C890" s="87"/>
      <c r="D890" s="87"/>
      <c r="E890" s="87"/>
      <c r="F890" s="87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>
      <c r="A891" s="87"/>
      <c r="B891" s="87"/>
      <c r="C891" s="87"/>
      <c r="D891" s="87"/>
      <c r="E891" s="87"/>
      <c r="F891" s="87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>
      <c r="A892" s="87"/>
      <c r="B892" s="87"/>
      <c r="C892" s="87"/>
      <c r="D892" s="87"/>
      <c r="E892" s="87"/>
      <c r="F892" s="87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>
      <c r="A893" s="87"/>
      <c r="B893" s="87"/>
      <c r="C893" s="87"/>
      <c r="D893" s="87"/>
      <c r="E893" s="87"/>
      <c r="F893" s="87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>
      <c r="A894" s="87"/>
      <c r="B894" s="87"/>
      <c r="C894" s="87"/>
      <c r="D894" s="87"/>
      <c r="E894" s="87"/>
      <c r="F894" s="87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>
      <c r="A895" s="87"/>
      <c r="B895" s="87"/>
      <c r="C895" s="87"/>
      <c r="D895" s="87"/>
      <c r="E895" s="87"/>
      <c r="F895" s="87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>
      <c r="A896" s="87"/>
      <c r="B896" s="87"/>
      <c r="C896" s="87"/>
      <c r="D896" s="87"/>
      <c r="E896" s="87"/>
      <c r="F896" s="87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>
      <c r="A897" s="87"/>
      <c r="B897" s="87"/>
      <c r="C897" s="87"/>
      <c r="D897" s="87"/>
      <c r="E897" s="87"/>
      <c r="F897" s="87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>
      <c r="A898" s="87"/>
      <c r="B898" s="87"/>
      <c r="C898" s="87"/>
      <c r="D898" s="87"/>
      <c r="E898" s="87"/>
      <c r="F898" s="87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>
      <c r="A899" s="87"/>
      <c r="B899" s="87"/>
      <c r="C899" s="87"/>
      <c r="D899" s="87"/>
      <c r="E899" s="87"/>
      <c r="F899" s="87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>
      <c r="A900" s="87"/>
      <c r="B900" s="87"/>
      <c r="C900" s="87"/>
      <c r="D900" s="87"/>
      <c r="E900" s="87"/>
      <c r="F900" s="87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>
      <c r="A901" s="87"/>
      <c r="B901" s="87"/>
      <c r="C901" s="87"/>
      <c r="D901" s="87"/>
      <c r="E901" s="87"/>
      <c r="F901" s="87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>
      <c r="A902" s="87"/>
      <c r="B902" s="87"/>
      <c r="C902" s="87"/>
      <c r="D902" s="87"/>
      <c r="E902" s="87"/>
      <c r="F902" s="87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>
      <c r="A903" s="87"/>
      <c r="B903" s="87"/>
      <c r="C903" s="87"/>
      <c r="D903" s="87"/>
      <c r="E903" s="87"/>
      <c r="F903" s="87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>
      <c r="A904" s="87"/>
      <c r="B904" s="87"/>
      <c r="C904" s="87"/>
      <c r="D904" s="87"/>
      <c r="E904" s="87"/>
      <c r="F904" s="87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>
      <c r="A905" s="87"/>
      <c r="B905" s="87"/>
      <c r="C905" s="87"/>
      <c r="D905" s="87"/>
      <c r="E905" s="87"/>
      <c r="F905" s="87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>
      <c r="A906" s="87"/>
      <c r="B906" s="87"/>
      <c r="C906" s="87"/>
      <c r="D906" s="87"/>
      <c r="E906" s="87"/>
      <c r="F906" s="87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>
      <c r="A907" s="87"/>
      <c r="B907" s="87"/>
      <c r="C907" s="87"/>
      <c r="D907" s="87"/>
      <c r="E907" s="87"/>
      <c r="F907" s="87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>
      <c r="A908" s="87"/>
      <c r="B908" s="87"/>
      <c r="C908" s="87"/>
      <c r="D908" s="87"/>
      <c r="E908" s="87"/>
      <c r="F908" s="87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>
      <c r="A909" s="87"/>
      <c r="B909" s="87"/>
      <c r="C909" s="87"/>
      <c r="D909" s="87"/>
      <c r="E909" s="87"/>
      <c r="F909" s="87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>
      <c r="A910" s="87"/>
      <c r="B910" s="87"/>
      <c r="C910" s="87"/>
      <c r="D910" s="87"/>
      <c r="E910" s="87"/>
      <c r="F910" s="87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>
      <c r="A911" s="87"/>
      <c r="B911" s="87"/>
      <c r="C911" s="87"/>
      <c r="D911" s="87"/>
      <c r="E911" s="87"/>
      <c r="F911" s="87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>
      <c r="A912" s="87"/>
      <c r="B912" s="87"/>
      <c r="C912" s="87"/>
      <c r="D912" s="87"/>
      <c r="E912" s="87"/>
      <c r="F912" s="87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>
      <c r="A913" s="87"/>
      <c r="B913" s="87"/>
      <c r="C913" s="87"/>
      <c r="D913" s="87"/>
      <c r="E913" s="87"/>
      <c r="F913" s="87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>
      <c r="A914" s="87"/>
      <c r="B914" s="87"/>
      <c r="C914" s="87"/>
      <c r="D914" s="87"/>
      <c r="E914" s="87"/>
      <c r="F914" s="87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>
      <c r="A915" s="87"/>
      <c r="B915" s="87"/>
      <c r="C915" s="87"/>
      <c r="D915" s="87"/>
      <c r="E915" s="87"/>
      <c r="F915" s="87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>
      <c r="A916" s="87"/>
      <c r="B916" s="87"/>
      <c r="C916" s="87"/>
      <c r="D916" s="87"/>
      <c r="E916" s="87"/>
      <c r="F916" s="87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>
      <c r="A917" s="87"/>
      <c r="B917" s="87"/>
      <c r="C917" s="87"/>
      <c r="D917" s="87"/>
      <c r="E917" s="87"/>
      <c r="F917" s="87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>
      <c r="A918" s="87"/>
      <c r="B918" s="87"/>
      <c r="C918" s="87"/>
      <c r="D918" s="87"/>
      <c r="E918" s="87"/>
      <c r="F918" s="87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>
      <c r="A919" s="87"/>
      <c r="B919" s="87"/>
      <c r="C919" s="87"/>
      <c r="D919" s="87"/>
      <c r="E919" s="87"/>
      <c r="F919" s="87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>
      <c r="A920" s="87"/>
      <c r="B920" s="87"/>
      <c r="C920" s="87"/>
      <c r="D920" s="87"/>
      <c r="E920" s="87"/>
      <c r="F920" s="87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>
      <c r="A921" s="87"/>
      <c r="B921" s="87"/>
      <c r="C921" s="87"/>
      <c r="D921" s="87"/>
      <c r="E921" s="87"/>
      <c r="F921" s="87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>
      <c r="A922" s="87"/>
      <c r="B922" s="87"/>
      <c r="C922" s="87"/>
      <c r="D922" s="87"/>
      <c r="E922" s="87"/>
      <c r="F922" s="87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>
      <c r="A923" s="87"/>
      <c r="B923" s="87"/>
      <c r="C923" s="87"/>
      <c r="D923" s="87"/>
      <c r="E923" s="87"/>
      <c r="F923" s="87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>
      <c r="A924" s="87"/>
      <c r="B924" s="87"/>
      <c r="C924" s="87"/>
      <c r="D924" s="87"/>
      <c r="E924" s="87"/>
      <c r="F924" s="87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>
      <c r="A925" s="87"/>
      <c r="B925" s="87"/>
      <c r="C925" s="87"/>
      <c r="D925" s="87"/>
      <c r="E925" s="87"/>
      <c r="F925" s="87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>
      <c r="A926" s="87"/>
      <c r="B926" s="87"/>
      <c r="C926" s="87"/>
      <c r="D926" s="87"/>
      <c r="E926" s="87"/>
      <c r="F926" s="87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>
      <c r="A927" s="87"/>
      <c r="B927" s="87"/>
      <c r="C927" s="87"/>
      <c r="D927" s="87"/>
      <c r="E927" s="87"/>
      <c r="F927" s="87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>
      <c r="A928" s="87"/>
      <c r="B928" s="87"/>
      <c r="C928" s="87"/>
      <c r="D928" s="87"/>
      <c r="E928" s="87"/>
      <c r="F928" s="87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>
      <c r="A929" s="87"/>
      <c r="B929" s="87"/>
      <c r="C929" s="87"/>
      <c r="D929" s="87"/>
      <c r="E929" s="87"/>
      <c r="F929" s="87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>
      <c r="A930" s="87"/>
      <c r="B930" s="87"/>
      <c r="C930" s="87"/>
      <c r="D930" s="87"/>
      <c r="E930" s="87"/>
      <c r="F930" s="87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>
      <c r="A931" s="87"/>
      <c r="B931" s="87"/>
      <c r="C931" s="87"/>
      <c r="D931" s="87"/>
      <c r="E931" s="87"/>
      <c r="F931" s="87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>
      <c r="A932" s="87"/>
      <c r="B932" s="87"/>
      <c r="C932" s="87"/>
      <c r="D932" s="87"/>
      <c r="E932" s="87"/>
      <c r="F932" s="87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>
      <c r="A933" s="87"/>
      <c r="B933" s="87"/>
      <c r="C933" s="87"/>
      <c r="D933" s="87"/>
      <c r="E933" s="87"/>
      <c r="F933" s="87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>
      <c r="A934" s="87"/>
      <c r="B934" s="87"/>
      <c r="C934" s="87"/>
      <c r="D934" s="87"/>
      <c r="E934" s="87"/>
      <c r="F934" s="87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>
      <c r="A935" s="87"/>
      <c r="B935" s="87"/>
      <c r="C935" s="87"/>
      <c r="D935" s="87"/>
      <c r="E935" s="87"/>
      <c r="F935" s="87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>
      <c r="A936" s="87"/>
      <c r="B936" s="87"/>
      <c r="C936" s="87"/>
      <c r="D936" s="87"/>
      <c r="E936" s="87"/>
      <c r="F936" s="87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>
      <c r="A937" s="87"/>
      <c r="B937" s="87"/>
      <c r="C937" s="87"/>
      <c r="D937" s="87"/>
      <c r="E937" s="87"/>
      <c r="F937" s="87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>
      <c r="A938" s="87"/>
      <c r="B938" s="87"/>
      <c r="C938" s="87"/>
      <c r="D938" s="87"/>
      <c r="E938" s="87"/>
      <c r="F938" s="87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>
      <c r="A939" s="87"/>
      <c r="B939" s="87"/>
      <c r="C939" s="87"/>
      <c r="D939" s="87"/>
      <c r="E939" s="87"/>
      <c r="F939" s="87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>
      <c r="A940" s="87"/>
      <c r="B940" s="87"/>
      <c r="C940" s="87"/>
      <c r="D940" s="87"/>
      <c r="E940" s="87"/>
      <c r="F940" s="87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>
      <c r="A941" s="87"/>
      <c r="B941" s="87"/>
      <c r="C941" s="87"/>
      <c r="D941" s="87"/>
      <c r="E941" s="87"/>
      <c r="F941" s="87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>
      <c r="A942" s="87"/>
      <c r="B942" s="87"/>
      <c r="C942" s="87"/>
      <c r="D942" s="87"/>
      <c r="E942" s="87"/>
      <c r="F942" s="87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>
      <c r="A943" s="87"/>
      <c r="B943" s="87"/>
      <c r="C943" s="87"/>
      <c r="D943" s="87"/>
      <c r="E943" s="87"/>
      <c r="F943" s="87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>
      <c r="A944" s="87"/>
      <c r="B944" s="87"/>
      <c r="C944" s="87"/>
      <c r="D944" s="87"/>
      <c r="E944" s="87"/>
      <c r="F944" s="87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>
      <c r="A945" s="87"/>
      <c r="B945" s="87"/>
      <c r="C945" s="87"/>
      <c r="D945" s="87"/>
      <c r="E945" s="87"/>
      <c r="F945" s="87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>
      <c r="A946" s="87"/>
      <c r="B946" s="87"/>
      <c r="C946" s="87"/>
      <c r="D946" s="87"/>
      <c r="E946" s="87"/>
      <c r="F946" s="87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>
      <c r="A947" s="87"/>
      <c r="B947" s="87"/>
      <c r="C947" s="87"/>
      <c r="D947" s="87"/>
      <c r="E947" s="87"/>
      <c r="F947" s="87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>
      <c r="A948" s="87"/>
      <c r="B948" s="87"/>
      <c r="C948" s="87"/>
      <c r="D948" s="87"/>
      <c r="E948" s="87"/>
      <c r="F948" s="87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>
      <c r="A949" s="87"/>
      <c r="B949" s="87"/>
      <c r="C949" s="87"/>
      <c r="D949" s="87"/>
      <c r="E949" s="87"/>
      <c r="F949" s="87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>
      <c r="A950" s="87"/>
      <c r="B950" s="87"/>
      <c r="C950" s="87"/>
      <c r="D950" s="87"/>
      <c r="E950" s="87"/>
      <c r="F950" s="87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>
      <c r="A951" s="87"/>
      <c r="B951" s="87"/>
      <c r="C951" s="87"/>
      <c r="D951" s="87"/>
      <c r="E951" s="87"/>
      <c r="F951" s="87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>
      <c r="A952" s="87"/>
      <c r="B952" s="87"/>
      <c r="C952" s="87"/>
      <c r="D952" s="87"/>
      <c r="E952" s="87"/>
      <c r="F952" s="87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>
      <c r="A953" s="87"/>
      <c r="B953" s="87"/>
      <c r="C953" s="87"/>
      <c r="D953" s="87"/>
      <c r="E953" s="87"/>
      <c r="F953" s="87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>
      <c r="A954" s="87"/>
      <c r="B954" s="87"/>
      <c r="C954" s="87"/>
      <c r="D954" s="87"/>
      <c r="E954" s="87"/>
      <c r="F954" s="87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>
      <c r="A955" s="87"/>
      <c r="B955" s="87"/>
      <c r="C955" s="87"/>
      <c r="D955" s="87"/>
      <c r="E955" s="87"/>
      <c r="F955" s="87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>
      <c r="A956" s="87"/>
      <c r="B956" s="87"/>
      <c r="C956" s="87"/>
      <c r="D956" s="87"/>
      <c r="E956" s="87"/>
      <c r="F956" s="87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>
      <c r="A957" s="87"/>
      <c r="B957" s="87"/>
      <c r="C957" s="87"/>
      <c r="D957" s="87"/>
      <c r="E957" s="87"/>
      <c r="F957" s="87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>
      <c r="A958" s="87"/>
      <c r="B958" s="87"/>
      <c r="C958" s="87"/>
      <c r="D958" s="87"/>
      <c r="E958" s="87"/>
      <c r="F958" s="87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>
      <c r="A959" s="87"/>
      <c r="B959" s="87"/>
      <c r="C959" s="87"/>
      <c r="D959" s="87"/>
      <c r="E959" s="87"/>
      <c r="F959" s="87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>
      <c r="A960" s="87"/>
      <c r="B960" s="87"/>
      <c r="C960" s="87"/>
      <c r="D960" s="87"/>
      <c r="E960" s="87"/>
      <c r="F960" s="87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>
      <c r="A961" s="87"/>
      <c r="B961" s="87"/>
      <c r="C961" s="87"/>
      <c r="D961" s="87"/>
      <c r="E961" s="87"/>
      <c r="F961" s="87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>
      <c r="A962" s="87"/>
      <c r="B962" s="87"/>
      <c r="C962" s="87"/>
      <c r="D962" s="87"/>
      <c r="E962" s="87"/>
      <c r="F962" s="87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>
      <c r="A963" s="87"/>
      <c r="B963" s="87"/>
      <c r="C963" s="87"/>
      <c r="D963" s="87"/>
      <c r="E963" s="87"/>
      <c r="F963" s="87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>
      <c r="A964" s="87"/>
      <c r="B964" s="87"/>
      <c r="C964" s="87"/>
      <c r="D964" s="87"/>
      <c r="E964" s="87"/>
      <c r="F964" s="87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>
      <c r="A965" s="87"/>
      <c r="B965" s="87"/>
      <c r="C965" s="87"/>
      <c r="D965" s="87"/>
      <c r="E965" s="87"/>
      <c r="F965" s="87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>
      <c r="A966" s="87"/>
      <c r="B966" s="87"/>
      <c r="C966" s="87"/>
      <c r="D966" s="87"/>
      <c r="E966" s="87"/>
      <c r="F966" s="87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>
      <c r="A967" s="87"/>
      <c r="B967" s="87"/>
      <c r="C967" s="87"/>
      <c r="D967" s="87"/>
      <c r="E967" s="87"/>
      <c r="F967" s="87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>
      <c r="A968" s="87"/>
      <c r="B968" s="87"/>
      <c r="C968" s="87"/>
      <c r="D968" s="87"/>
      <c r="E968" s="87"/>
      <c r="F968" s="87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>
      <c r="A969" s="87"/>
      <c r="B969" s="87"/>
      <c r="C969" s="87"/>
      <c r="D969" s="87"/>
      <c r="E969" s="87"/>
      <c r="F969" s="87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>
      <c r="A970" s="87"/>
      <c r="B970" s="87"/>
      <c r="C970" s="87"/>
      <c r="D970" s="87"/>
      <c r="E970" s="87"/>
      <c r="F970" s="87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>
      <c r="A971" s="87"/>
      <c r="B971" s="87"/>
      <c r="C971" s="87"/>
      <c r="D971" s="87"/>
      <c r="E971" s="87"/>
      <c r="F971" s="87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>
      <c r="A972" s="87"/>
      <c r="B972" s="87"/>
      <c r="C972" s="87"/>
      <c r="D972" s="87"/>
      <c r="E972" s="87"/>
      <c r="F972" s="87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>
      <c r="A973" s="87"/>
      <c r="B973" s="87"/>
      <c r="C973" s="87"/>
      <c r="D973" s="87"/>
      <c r="E973" s="87"/>
      <c r="F973" s="87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>
      <c r="A974" s="87"/>
      <c r="B974" s="87"/>
      <c r="C974" s="87"/>
      <c r="D974" s="87"/>
      <c r="E974" s="87"/>
      <c r="F974" s="87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>
      <c r="A975" s="87"/>
      <c r="B975" s="87"/>
      <c r="C975" s="87"/>
      <c r="D975" s="87"/>
      <c r="E975" s="87"/>
      <c r="F975" s="87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>
      <c r="A976" s="87"/>
      <c r="B976" s="87"/>
      <c r="C976" s="87"/>
      <c r="D976" s="87"/>
      <c r="E976" s="87"/>
      <c r="F976" s="87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>
      <c r="A977" s="87"/>
      <c r="B977" s="87"/>
      <c r="C977" s="87"/>
      <c r="D977" s="87"/>
      <c r="E977" s="87"/>
      <c r="F977" s="87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>
      <c r="A978" s="87"/>
      <c r="B978" s="87"/>
      <c r="C978" s="87"/>
      <c r="D978" s="87"/>
      <c r="E978" s="87"/>
      <c r="F978" s="87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>
      <c r="A979" s="87"/>
      <c r="B979" s="87"/>
      <c r="C979" s="87"/>
      <c r="D979" s="87"/>
      <c r="E979" s="87"/>
      <c r="F979" s="87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>
      <c r="A980" s="87"/>
      <c r="B980" s="87"/>
      <c r="C980" s="87"/>
      <c r="D980" s="87"/>
      <c r="E980" s="87"/>
      <c r="F980" s="87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>
      <c r="A981" s="87"/>
      <c r="B981" s="87"/>
      <c r="C981" s="87"/>
      <c r="D981" s="87"/>
      <c r="E981" s="87"/>
      <c r="F981" s="87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>
      <c r="A982" s="87"/>
      <c r="B982" s="87"/>
      <c r="C982" s="87"/>
      <c r="D982" s="87"/>
      <c r="E982" s="87"/>
      <c r="F982" s="87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>
      <c r="A983" s="87"/>
      <c r="B983" s="87"/>
      <c r="C983" s="87"/>
      <c r="D983" s="87"/>
      <c r="E983" s="87"/>
      <c r="F983" s="87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>
      <c r="A984" s="87"/>
      <c r="B984" s="87"/>
      <c r="C984" s="87"/>
      <c r="D984" s="87"/>
      <c r="E984" s="87"/>
      <c r="F984" s="87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>
      <c r="A985" s="87"/>
      <c r="B985" s="87"/>
      <c r="C985" s="87"/>
      <c r="D985" s="87"/>
      <c r="E985" s="87"/>
      <c r="F985" s="87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>
      <c r="A986" s="87"/>
      <c r="B986" s="87"/>
      <c r="C986" s="87"/>
      <c r="D986" s="87"/>
      <c r="E986" s="87"/>
      <c r="F986" s="87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>
      <c r="A987" s="87"/>
      <c r="B987" s="87"/>
      <c r="C987" s="87"/>
      <c r="D987" s="87"/>
      <c r="E987" s="87"/>
      <c r="F987" s="87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>
      <c r="A988" s="87"/>
      <c r="B988" s="87"/>
      <c r="C988" s="87"/>
      <c r="D988" s="87"/>
      <c r="E988" s="87"/>
      <c r="F988" s="87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>
      <c r="A989" s="87"/>
      <c r="B989" s="87"/>
      <c r="C989" s="87"/>
      <c r="D989" s="87"/>
      <c r="E989" s="87"/>
      <c r="F989" s="87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>
      <c r="A990" s="87"/>
      <c r="B990" s="87"/>
      <c r="C990" s="87"/>
      <c r="D990" s="87"/>
      <c r="E990" s="87"/>
      <c r="F990" s="87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>
      <c r="A991" s="87"/>
      <c r="B991" s="87"/>
      <c r="C991" s="87"/>
      <c r="D991" s="87"/>
      <c r="E991" s="87"/>
      <c r="F991" s="87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>
      <c r="A992" s="87"/>
      <c r="B992" s="87"/>
      <c r="C992" s="87"/>
      <c r="D992" s="87"/>
      <c r="E992" s="87"/>
      <c r="F992" s="87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>
      <c r="A993" s="87"/>
      <c r="B993" s="87"/>
      <c r="C993" s="87"/>
      <c r="D993" s="87"/>
      <c r="E993" s="87"/>
      <c r="F993" s="87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>
      <c r="A994" s="87"/>
      <c r="B994" s="87"/>
      <c r="C994" s="87"/>
      <c r="D994" s="87"/>
      <c r="E994" s="87"/>
      <c r="F994" s="87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>
      <c r="A995" s="87"/>
      <c r="B995" s="87"/>
      <c r="C995" s="87"/>
      <c r="D995" s="87"/>
      <c r="E995" s="87"/>
      <c r="F995" s="87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>
      <c r="A996" s="87"/>
      <c r="B996" s="87"/>
      <c r="C996" s="87"/>
      <c r="D996" s="87"/>
      <c r="E996" s="87"/>
      <c r="F996" s="87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>
      <c r="A997" s="87"/>
      <c r="B997" s="87"/>
      <c r="C997" s="87"/>
      <c r="D997" s="87"/>
      <c r="E997" s="87"/>
      <c r="F997" s="87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>
      <c r="A998" s="87"/>
      <c r="B998" s="87"/>
      <c r="C998" s="87"/>
      <c r="D998" s="87"/>
      <c r="E998" s="87"/>
      <c r="F998" s="87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>
      <c r="A999" s="87"/>
      <c r="B999" s="87"/>
      <c r="C999" s="87"/>
      <c r="D999" s="87"/>
      <c r="E999" s="87"/>
      <c r="F999" s="87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customHeight="1">
      <c r="A1000" s="87"/>
      <c r="B1000" s="87"/>
      <c r="C1000" s="87"/>
      <c r="D1000" s="87"/>
      <c r="E1000" s="87"/>
      <c r="F1000" s="87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5">
    <mergeCell ref="A13:F13"/>
    <mergeCell ref="A14:F14"/>
    <mergeCell ref="A15:F15"/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4.44140625" defaultRowHeight="15" customHeight="1"/>
  <cols>
    <col min="1" max="1" width="18" customWidth="1"/>
    <col min="2" max="2" width="15.88671875" customWidth="1"/>
    <col min="3" max="3" width="23" customWidth="1"/>
    <col min="4" max="4" width="25.109375" customWidth="1"/>
    <col min="5" max="5" width="34.88671875" customWidth="1"/>
    <col min="6" max="26" width="11.5546875" customWidth="1"/>
  </cols>
  <sheetData>
    <row r="1" spans="1:26" ht="47.25" customHeight="1">
      <c r="A1" s="199"/>
      <c r="B1" s="131"/>
      <c r="C1" s="200" t="str">
        <f>+Informe!C1</f>
        <v>FR-014 - V01</v>
      </c>
      <c r="D1" s="135"/>
      <c r="E1" s="13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</row>
    <row r="2" spans="1:26" ht="43.5" customHeight="1">
      <c r="A2" s="132"/>
      <c r="B2" s="133"/>
      <c r="C2" s="201" t="str">
        <f>+Informe!C2</f>
        <v>INFORME DE PRUEBA DE SEGURIDAD ELÉCTRICA</v>
      </c>
      <c r="D2" s="138"/>
      <c r="E2" s="139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</row>
    <row r="3" spans="1:26" ht="24" customHeight="1">
      <c r="A3" s="108"/>
      <c r="B3" s="108"/>
      <c r="C3" s="108"/>
      <c r="D3" s="108"/>
      <c r="E3" s="108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</row>
    <row r="4" spans="1:26" ht="18.75" customHeight="1">
      <c r="A4" s="117" t="s">
        <v>182</v>
      </c>
      <c r="B4" s="202" t="s">
        <v>183</v>
      </c>
      <c r="C4" s="155"/>
      <c r="D4" s="159"/>
      <c r="E4" s="117" t="s">
        <v>184</v>
      </c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</row>
    <row r="5" spans="1:26" ht="69" customHeight="1">
      <c r="A5" s="119">
        <v>1</v>
      </c>
      <c r="B5" s="203" t="s">
        <v>185</v>
      </c>
      <c r="C5" s="155"/>
      <c r="D5" s="159"/>
      <c r="E5" s="120" t="s">
        <v>186</v>
      </c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</row>
    <row r="6" spans="1:26" ht="16.5" customHeight="1">
      <c r="A6" s="122"/>
      <c r="B6" s="198"/>
      <c r="C6" s="155"/>
      <c r="D6" s="159"/>
      <c r="E6" s="114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</row>
    <row r="7" spans="1:26" ht="18" customHeight="1">
      <c r="A7" s="122"/>
      <c r="B7" s="198"/>
      <c r="C7" s="155"/>
      <c r="D7" s="159"/>
      <c r="E7" s="114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</row>
    <row r="8" spans="1:26" ht="12.75" customHeight="1">
      <c r="A8" s="122"/>
      <c r="B8" s="198"/>
      <c r="C8" s="155"/>
      <c r="D8" s="159"/>
      <c r="E8" s="114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</row>
    <row r="9" spans="1:26" ht="12.75" customHeight="1">
      <c r="A9" s="122"/>
      <c r="B9" s="198"/>
      <c r="C9" s="155"/>
      <c r="D9" s="159"/>
      <c r="E9" s="114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</row>
    <row r="10" spans="1:26" ht="13.5" customHeight="1">
      <c r="A10" s="122"/>
      <c r="B10" s="198"/>
      <c r="C10" s="155"/>
      <c r="D10" s="159"/>
      <c r="E10" s="114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</row>
    <row r="11" spans="1:26" ht="14.25" customHeight="1">
      <c r="A11" s="122"/>
      <c r="B11" s="198"/>
      <c r="C11" s="155"/>
      <c r="D11" s="159"/>
      <c r="E11" s="114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</row>
    <row r="12" spans="1:26" ht="14.25" customHeight="1">
      <c r="A12" s="122"/>
      <c r="B12" s="198"/>
      <c r="C12" s="155"/>
      <c r="D12" s="159"/>
      <c r="E12" s="114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</row>
    <row r="13" spans="1:26" ht="14.25" customHeight="1">
      <c r="A13" s="122"/>
      <c r="B13" s="198"/>
      <c r="C13" s="155"/>
      <c r="D13" s="159"/>
      <c r="E13" s="114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</row>
    <row r="14" spans="1:26" ht="14.25" customHeight="1">
      <c r="A14" s="122"/>
      <c r="B14" s="198"/>
      <c r="C14" s="155"/>
      <c r="D14" s="159"/>
      <c r="E14" s="114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</row>
    <row r="15" spans="1:26" ht="14.25" customHeight="1">
      <c r="A15" s="118"/>
      <c r="B15" s="118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spans="1:26" ht="14.25" customHeight="1">
      <c r="A16" s="118"/>
      <c r="B16" s="118"/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</row>
    <row r="17" spans="1:26" ht="14.25" customHeight="1">
      <c r="A17" s="118"/>
      <c r="B17" s="118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</row>
    <row r="18" spans="1:26" ht="14.25" customHeight="1">
      <c r="A18" s="118"/>
      <c r="B18" s="118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</row>
    <row r="19" spans="1:26" ht="14.25" customHeight="1">
      <c r="A19" s="118"/>
      <c r="B19" s="118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</row>
    <row r="20" spans="1:26" ht="14.25" customHeight="1">
      <c r="A20" s="118"/>
      <c r="B20" s="118"/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</row>
    <row r="21" spans="1:26" ht="14.25" customHeight="1">
      <c r="A21" s="118"/>
      <c r="B21" s="118"/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</row>
    <row r="22" spans="1:26" ht="14.25" customHeight="1">
      <c r="A22" s="118"/>
      <c r="B22" s="118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</row>
    <row r="23" spans="1:26" ht="14.25" customHeight="1">
      <c r="A23" s="118"/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</row>
    <row r="24" spans="1:26" ht="14.25" customHeight="1">
      <c r="A24" s="118"/>
      <c r="B24" s="118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</row>
    <row r="25" spans="1:26" ht="14.25" customHeight="1">
      <c r="A25" s="118"/>
      <c r="B25" s="118"/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</row>
    <row r="26" spans="1:26" ht="14.25" customHeight="1">
      <c r="A26" s="118"/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</row>
    <row r="27" spans="1:26" ht="14.25" customHeight="1">
      <c r="A27" s="118"/>
      <c r="B27" s="118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</row>
    <row r="28" spans="1:26" ht="14.25" customHeight="1">
      <c r="A28" s="118"/>
      <c r="B28" s="118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</row>
    <row r="29" spans="1:26" ht="14.25" customHeight="1">
      <c r="A29" s="118"/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spans="1:26" ht="14.25" customHeight="1">
      <c r="A30" s="118"/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</row>
    <row r="31" spans="1:26" ht="14.25" customHeight="1">
      <c r="A31" s="118"/>
      <c r="B31" s="118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</row>
    <row r="32" spans="1:26" ht="14.25" customHeight="1">
      <c r="A32" s="118"/>
      <c r="B32" s="118"/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</row>
    <row r="33" spans="1:26" ht="14.25" customHeight="1">
      <c r="A33" s="118"/>
      <c r="B33" s="118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</row>
    <row r="34" spans="1:26" ht="14.25" customHeight="1">
      <c r="A34" s="118"/>
      <c r="B34" s="118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</row>
    <row r="35" spans="1:26" ht="14.25" customHeight="1">
      <c r="A35" s="118"/>
      <c r="B35" s="118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</row>
    <row r="36" spans="1:26" ht="14.25" customHeight="1">
      <c r="A36" s="118"/>
      <c r="B36" s="118"/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</row>
    <row r="37" spans="1:26" ht="14.25" customHeight="1">
      <c r="A37" s="118"/>
      <c r="B37" s="118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</row>
    <row r="38" spans="1:26" ht="14.25" customHeight="1">
      <c r="A38" s="118"/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</row>
    <row r="39" spans="1:26" ht="14.25" customHeight="1">
      <c r="A39" s="118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</row>
    <row r="40" spans="1:26" ht="14.25" customHeight="1">
      <c r="A40" s="118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</row>
    <row r="41" spans="1:26" ht="14.25" customHeight="1">
      <c r="A41" s="118"/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</row>
    <row r="42" spans="1:26" ht="14.25" customHeight="1">
      <c r="A42" s="118"/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</row>
    <row r="43" spans="1:26" ht="14.25" customHeight="1">
      <c r="A43" s="118"/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</row>
    <row r="44" spans="1:26" ht="14.25" customHeight="1">
      <c r="A44" s="118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</row>
    <row r="45" spans="1:26" ht="14.25" customHeight="1">
      <c r="A45" s="118"/>
      <c r="B45" s="118"/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</row>
    <row r="46" spans="1:26" ht="14.25" customHeight="1">
      <c r="A46" s="118"/>
      <c r="B46" s="118"/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</row>
    <row r="47" spans="1:26" ht="14.25" customHeight="1">
      <c r="A47" s="118"/>
      <c r="B47" s="118"/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</row>
    <row r="48" spans="1:26" ht="14.25" customHeight="1">
      <c r="A48" s="118"/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</row>
    <row r="49" spans="1:26" ht="14.25" customHeight="1">
      <c r="A49" s="118"/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</row>
    <row r="50" spans="1:26" ht="14.25" customHeight="1">
      <c r="A50" s="118"/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 spans="1:26" ht="14.25" customHeight="1">
      <c r="A51" s="118"/>
      <c r="B51" s="118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 spans="1:26" ht="14.25" customHeight="1">
      <c r="A52" s="118"/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 spans="1:26" ht="14.25" customHeight="1">
      <c r="A53" s="118"/>
      <c r="B53" s="118"/>
      <c r="C53" s="118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 spans="1:26" ht="14.25" customHeight="1">
      <c r="A54" s="118"/>
      <c r="B54" s="118"/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 spans="1:26" ht="14.25" customHeight="1">
      <c r="A55" s="118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 spans="1:26" ht="14.25" customHeight="1">
      <c r="A56" s="118"/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 spans="1:26" ht="14.25" customHeight="1">
      <c r="A57" s="118"/>
      <c r="B57" s="118"/>
      <c r="C57" s="118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 spans="1:26" ht="14.25" customHeight="1">
      <c r="A58" s="118"/>
      <c r="B58" s="118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 spans="1:26" ht="14.25" customHeight="1">
      <c r="A59" s="118"/>
      <c r="B59" s="118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 spans="1:26" ht="14.25" customHeight="1">
      <c r="A60" s="118"/>
      <c r="B60" s="118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 spans="1:26" ht="14.25" customHeight="1">
      <c r="A61" s="118"/>
      <c r="B61" s="118"/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 spans="1:26" ht="14.25" customHeight="1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 spans="1:26" ht="14.25" customHeight="1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 spans="1:26" ht="14.25" customHeight="1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</row>
    <row r="65" spans="1:26" ht="14.25" customHeight="1">
      <c r="A65" s="118"/>
      <c r="B65" s="118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</row>
    <row r="66" spans="1:26" ht="14.25" customHeight="1">
      <c r="A66" s="118"/>
      <c r="B66" s="118"/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</row>
    <row r="67" spans="1:26" ht="14.25" customHeight="1">
      <c r="A67" s="118"/>
      <c r="B67" s="118"/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</row>
    <row r="68" spans="1:26" ht="14.25" customHeight="1">
      <c r="A68" s="118"/>
      <c r="B68" s="118"/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</row>
    <row r="69" spans="1:26" ht="14.25" customHeight="1">
      <c r="A69" s="118"/>
      <c r="B69" s="118"/>
      <c r="C69" s="118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</row>
    <row r="70" spans="1:26" ht="14.25" customHeight="1">
      <c r="A70" s="118"/>
      <c r="B70" s="118"/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</row>
    <row r="71" spans="1:26" ht="14.25" customHeight="1">
      <c r="A71" s="118"/>
      <c r="B71" s="118"/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</row>
    <row r="72" spans="1:26" ht="14.25" customHeight="1">
      <c r="A72" s="118"/>
      <c r="B72" s="118"/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</row>
    <row r="73" spans="1:26" ht="14.25" customHeight="1">
      <c r="A73" s="118"/>
      <c r="B73" s="118"/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</row>
    <row r="74" spans="1:26" ht="14.25" customHeight="1">
      <c r="A74" s="118"/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</row>
    <row r="75" spans="1:26" ht="14.25" customHeight="1">
      <c r="A75" s="118"/>
      <c r="B75" s="118"/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</row>
    <row r="76" spans="1:26" ht="14.25" customHeight="1">
      <c r="A76" s="118"/>
      <c r="B76" s="118"/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</row>
    <row r="77" spans="1:26" ht="14.25" customHeight="1">
      <c r="A77" s="118"/>
      <c r="B77" s="118"/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</row>
    <row r="78" spans="1:26" ht="14.25" customHeight="1">
      <c r="A78" s="118"/>
      <c r="B78" s="118"/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</row>
    <row r="79" spans="1:26" ht="14.25" customHeight="1">
      <c r="A79" s="118"/>
      <c r="B79" s="118"/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</row>
    <row r="80" spans="1:26" ht="14.25" customHeight="1">
      <c r="A80" s="118"/>
      <c r="B80" s="118"/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</row>
    <row r="81" spans="1:26" ht="14.25" customHeight="1">
      <c r="A81" s="118"/>
      <c r="B81" s="118"/>
      <c r="C81" s="118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</row>
    <row r="82" spans="1:26" ht="14.25" customHeight="1">
      <c r="A82" s="118"/>
      <c r="B82" s="118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</row>
    <row r="83" spans="1:26" ht="14.25" customHeight="1">
      <c r="A83" s="118"/>
      <c r="B83" s="118"/>
      <c r="C83" s="118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</row>
    <row r="84" spans="1:26" ht="14.25" customHeight="1">
      <c r="A84" s="118"/>
      <c r="B84" s="118"/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</row>
    <row r="85" spans="1:26" ht="14.25" customHeight="1">
      <c r="A85" s="118"/>
      <c r="B85" s="118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</row>
    <row r="86" spans="1:26" ht="14.25" customHeight="1">
      <c r="A86" s="118"/>
      <c r="B86" s="118"/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</row>
    <row r="87" spans="1:26" ht="14.25" customHeight="1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</row>
    <row r="88" spans="1:26" ht="14.25" customHeight="1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</row>
    <row r="89" spans="1:26" ht="14.25" customHeight="1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</row>
    <row r="90" spans="1:26" ht="14.25" customHeight="1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</row>
    <row r="91" spans="1:26" ht="14.25" customHeight="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</row>
    <row r="92" spans="1:26" ht="14.25" customHeight="1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</row>
    <row r="93" spans="1:26" ht="14.25" customHeight="1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</row>
    <row r="94" spans="1:26" ht="14.25" customHeight="1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</row>
    <row r="95" spans="1:26" ht="14.25" customHeight="1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</row>
    <row r="96" spans="1:26" ht="14.25" customHeight="1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</row>
    <row r="97" spans="1:26" ht="14.25" customHeight="1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</row>
    <row r="98" spans="1:26" ht="14.25" customHeight="1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</row>
    <row r="99" spans="1:26" ht="14.25" customHeight="1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</row>
    <row r="100" spans="1:26" ht="14.25" customHeight="1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</row>
    <row r="101" spans="1:26" ht="14.25" customHeight="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</row>
    <row r="102" spans="1:26" ht="14.25" customHeight="1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</row>
    <row r="103" spans="1:26" ht="14.25" customHeight="1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</row>
    <row r="104" spans="1:26" ht="14.25" customHeight="1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</row>
    <row r="105" spans="1:26" ht="14.25" customHeight="1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</row>
    <row r="106" spans="1:26" ht="14.25" customHeight="1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</row>
    <row r="107" spans="1:26" ht="14.25" customHeight="1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</row>
    <row r="108" spans="1:26" ht="14.25" customHeight="1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</row>
    <row r="109" spans="1:26" ht="14.25" customHeight="1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</row>
    <row r="110" spans="1:26" ht="14.25" customHeight="1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</row>
    <row r="111" spans="1:26" ht="14.25" customHeight="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</row>
    <row r="112" spans="1:26" ht="14.25" customHeight="1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</row>
    <row r="113" spans="1:26" ht="14.25" customHeight="1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</row>
    <row r="114" spans="1:26" ht="14.25" customHeight="1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</row>
    <row r="115" spans="1:26" ht="14.25" customHeight="1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</row>
    <row r="116" spans="1:26" ht="14.25" customHeight="1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</row>
    <row r="117" spans="1:26" ht="14.25" customHeight="1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</row>
    <row r="118" spans="1:26" ht="14.25" customHeight="1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</row>
    <row r="119" spans="1:26" ht="14.25" customHeight="1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</row>
    <row r="120" spans="1:26" ht="14.25" customHeight="1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</row>
    <row r="121" spans="1:26" ht="14.25" customHeight="1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</row>
    <row r="122" spans="1:26" ht="14.25" customHeight="1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</row>
    <row r="123" spans="1:26" ht="14.25" customHeight="1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</row>
    <row r="124" spans="1:26" ht="14.25" customHeight="1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</row>
    <row r="125" spans="1:26" ht="14.25" customHeight="1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</row>
    <row r="126" spans="1:26" ht="14.25" customHeight="1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</row>
    <row r="127" spans="1:26" ht="14.25" customHeight="1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</row>
    <row r="128" spans="1:26" ht="14.25" customHeight="1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</row>
    <row r="129" spans="1:26" ht="14.25" customHeight="1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</row>
    <row r="130" spans="1:26" ht="14.25" customHeight="1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</row>
    <row r="131" spans="1:26" ht="14.25" customHeight="1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</row>
    <row r="132" spans="1:26" ht="14.25" customHeight="1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</row>
    <row r="133" spans="1:26" ht="14.25" customHeight="1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</row>
    <row r="134" spans="1:26" ht="14.25" customHeight="1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</row>
    <row r="135" spans="1:26" ht="14.25" customHeight="1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</row>
    <row r="136" spans="1:26" ht="14.25" customHeight="1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</row>
    <row r="137" spans="1:26" ht="14.25" customHeight="1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</row>
    <row r="138" spans="1:26" ht="14.25" customHeight="1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</row>
    <row r="139" spans="1:26" ht="14.25" customHeight="1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</row>
    <row r="140" spans="1:26" ht="14.25" customHeight="1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</row>
    <row r="141" spans="1:26" ht="14.25" customHeight="1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</row>
    <row r="142" spans="1:26" ht="14.25" customHeight="1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</row>
    <row r="143" spans="1:26" ht="14.25" customHeight="1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</row>
    <row r="144" spans="1:26" ht="14.25" customHeight="1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</row>
    <row r="145" spans="1:26" ht="14.25" customHeight="1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</row>
    <row r="146" spans="1:26" ht="14.25" customHeight="1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</row>
    <row r="147" spans="1:26" ht="14.25" customHeight="1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</row>
    <row r="148" spans="1:26" ht="14.25" customHeight="1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</row>
    <row r="149" spans="1:26" ht="14.25" customHeight="1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</row>
    <row r="150" spans="1:26" ht="14.25" customHeight="1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</row>
    <row r="151" spans="1:26" ht="14.25" customHeight="1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</row>
    <row r="152" spans="1:26" ht="14.25" customHeight="1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</row>
    <row r="153" spans="1:26" ht="14.25" customHeight="1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</row>
    <row r="154" spans="1:26" ht="14.25" customHeight="1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</row>
    <row r="155" spans="1:26" ht="14.25" customHeight="1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</row>
    <row r="156" spans="1:26" ht="14.25" customHeight="1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</row>
    <row r="157" spans="1:26" ht="14.25" customHeight="1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</row>
    <row r="158" spans="1:26" ht="14.25" customHeight="1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</row>
    <row r="159" spans="1:26" ht="14.25" customHeight="1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</row>
    <row r="160" spans="1:26" ht="14.25" customHeight="1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</row>
    <row r="161" spans="1:26" ht="14.25" customHeight="1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</row>
    <row r="162" spans="1:26" ht="14.25" customHeight="1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</row>
    <row r="163" spans="1:26" ht="14.25" customHeight="1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</row>
    <row r="164" spans="1:26" ht="14.25" customHeight="1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</row>
    <row r="165" spans="1:26" ht="14.25" customHeight="1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</row>
    <row r="166" spans="1:26" ht="14.25" customHeight="1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</row>
    <row r="167" spans="1:26" ht="14.25" customHeight="1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</row>
    <row r="168" spans="1:26" ht="14.25" customHeight="1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</row>
    <row r="169" spans="1:26" ht="14.25" customHeight="1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</row>
    <row r="170" spans="1:26" ht="14.25" customHeight="1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</row>
    <row r="171" spans="1:26" ht="14.25" customHeight="1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</row>
    <row r="172" spans="1:26" ht="14.25" customHeight="1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</row>
    <row r="173" spans="1:26" ht="14.25" customHeight="1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</row>
    <row r="174" spans="1:26" ht="14.25" customHeight="1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</row>
    <row r="175" spans="1:26" ht="14.25" customHeight="1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</row>
    <row r="176" spans="1:26" ht="14.25" customHeight="1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</row>
    <row r="177" spans="1:26" ht="14.25" customHeight="1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</row>
    <row r="178" spans="1:26" ht="14.25" customHeight="1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</row>
    <row r="179" spans="1:26" ht="14.25" customHeight="1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</row>
    <row r="180" spans="1:26" ht="14.25" customHeight="1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</row>
    <row r="181" spans="1:26" ht="14.25" customHeight="1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</row>
    <row r="182" spans="1:26" ht="14.25" customHeight="1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</row>
    <row r="183" spans="1:26" ht="14.25" customHeight="1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</row>
    <row r="184" spans="1:26" ht="14.25" customHeight="1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</row>
    <row r="185" spans="1:26" ht="14.25" customHeight="1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</row>
    <row r="186" spans="1:26" ht="14.25" customHeight="1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</row>
    <row r="187" spans="1:26" ht="14.25" customHeight="1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</row>
    <row r="188" spans="1:26" ht="14.25" customHeight="1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</row>
    <row r="189" spans="1:26" ht="14.25" customHeight="1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</row>
    <row r="190" spans="1:26" ht="14.25" customHeight="1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</row>
    <row r="191" spans="1:26" ht="14.25" customHeight="1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</row>
    <row r="192" spans="1:26" ht="14.25" customHeight="1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</row>
    <row r="193" spans="1:26" ht="14.25" customHeight="1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</row>
    <row r="194" spans="1:26" ht="14.25" customHeight="1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</row>
    <row r="195" spans="1:26" ht="14.25" customHeight="1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</row>
    <row r="196" spans="1:26" ht="14.25" customHeight="1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</row>
    <row r="197" spans="1:26" ht="14.25" customHeight="1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</row>
    <row r="198" spans="1:26" ht="14.25" customHeight="1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</row>
    <row r="199" spans="1:26" ht="14.25" customHeight="1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</row>
    <row r="200" spans="1:26" ht="14.25" customHeight="1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</row>
    <row r="201" spans="1:26" ht="14.25" customHeight="1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</row>
    <row r="202" spans="1:26" ht="14.25" customHeight="1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</row>
    <row r="203" spans="1:26" ht="14.25" customHeight="1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</row>
    <row r="204" spans="1:26" ht="14.25" customHeight="1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</row>
    <row r="205" spans="1:26" ht="14.25" customHeight="1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</row>
    <row r="206" spans="1:26" ht="14.25" customHeight="1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</row>
    <row r="207" spans="1:26" ht="14.25" customHeight="1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</row>
    <row r="208" spans="1:26" ht="14.25" customHeight="1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</row>
    <row r="209" spans="1:26" ht="14.25" customHeight="1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</row>
    <row r="210" spans="1:26" ht="14.25" customHeight="1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</row>
    <row r="211" spans="1:26" ht="14.25" customHeight="1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</row>
    <row r="212" spans="1:26" ht="14.25" customHeight="1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</row>
    <row r="213" spans="1:26" ht="14.25" customHeight="1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</row>
    <row r="214" spans="1:26" ht="14.25" customHeight="1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</row>
    <row r="215" spans="1:26" ht="14.25" customHeight="1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</row>
    <row r="216" spans="1:26" ht="14.25" customHeight="1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</row>
    <row r="217" spans="1:26" ht="14.25" customHeight="1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</row>
    <row r="218" spans="1:26" ht="14.25" customHeight="1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</row>
    <row r="219" spans="1:26" ht="14.25" customHeight="1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</row>
    <row r="220" spans="1:26" ht="14.25" customHeight="1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</row>
    <row r="221" spans="1:26" ht="14.25" customHeight="1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</row>
    <row r="222" spans="1:26" ht="14.25" customHeight="1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</row>
    <row r="223" spans="1:26" ht="14.25" customHeight="1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</row>
    <row r="224" spans="1:26" ht="14.25" customHeight="1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</row>
    <row r="225" spans="1:26" ht="14.25" customHeight="1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</row>
    <row r="226" spans="1:26" ht="14.25" customHeight="1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</row>
    <row r="227" spans="1:26" ht="14.25" customHeight="1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</row>
    <row r="228" spans="1:26" ht="14.25" customHeight="1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</row>
    <row r="229" spans="1:26" ht="14.25" customHeight="1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</row>
    <row r="230" spans="1:26" ht="14.25" customHeight="1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</row>
    <row r="231" spans="1:26" ht="14.25" customHeight="1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</row>
    <row r="232" spans="1:26" ht="14.25" customHeight="1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</row>
    <row r="233" spans="1:26" ht="14.25" customHeight="1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</row>
    <row r="234" spans="1:26" ht="14.25" customHeight="1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</row>
    <row r="235" spans="1:26" ht="14.25" customHeight="1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</row>
    <row r="236" spans="1:26" ht="14.25" customHeight="1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</row>
    <row r="237" spans="1:26" ht="14.25" customHeight="1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</row>
    <row r="238" spans="1:26" ht="14.25" customHeight="1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</row>
    <row r="239" spans="1:26" ht="14.25" customHeight="1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</row>
    <row r="240" spans="1:26" ht="14.25" customHeight="1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</row>
    <row r="241" spans="1:26" ht="14.25" customHeight="1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</row>
    <row r="242" spans="1:26" ht="14.25" customHeight="1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</row>
    <row r="243" spans="1:26" ht="14.25" customHeight="1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</row>
    <row r="244" spans="1:26" ht="14.25" customHeight="1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</row>
    <row r="245" spans="1:26" ht="14.25" customHeight="1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</row>
    <row r="246" spans="1:26" ht="14.25" customHeight="1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</row>
    <row r="247" spans="1:26" ht="14.25" customHeight="1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</row>
    <row r="248" spans="1:26" ht="14.25" customHeight="1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</row>
    <row r="249" spans="1:26" ht="14.25" customHeight="1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</row>
    <row r="250" spans="1:26" ht="14.25" customHeight="1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</row>
    <row r="251" spans="1:26" ht="14.25" customHeight="1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</row>
    <row r="252" spans="1:26" ht="14.25" customHeight="1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</row>
    <row r="253" spans="1:26" ht="14.25" customHeight="1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</row>
    <row r="254" spans="1:26" ht="14.25" customHeight="1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</row>
    <row r="255" spans="1:26" ht="14.25" customHeight="1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</row>
    <row r="256" spans="1:26" ht="14.25" customHeight="1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</row>
    <row r="257" spans="1:26" ht="14.25" customHeight="1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</row>
    <row r="258" spans="1:26" ht="14.25" customHeight="1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</row>
    <row r="259" spans="1:26" ht="14.25" customHeight="1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</row>
    <row r="260" spans="1:26" ht="14.25" customHeight="1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</row>
    <row r="261" spans="1:26" ht="14.25" customHeight="1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</row>
    <row r="262" spans="1:26" ht="14.25" customHeight="1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</row>
    <row r="263" spans="1:26" ht="14.25" customHeight="1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</row>
    <row r="264" spans="1:26" ht="14.25" customHeight="1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</row>
    <row r="265" spans="1:26" ht="14.25" customHeight="1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</row>
    <row r="266" spans="1:26" ht="14.25" customHeight="1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</row>
    <row r="267" spans="1:26" ht="14.25" customHeight="1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</row>
    <row r="268" spans="1:26" ht="14.25" customHeight="1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</row>
    <row r="269" spans="1:26" ht="14.25" customHeight="1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</row>
    <row r="270" spans="1:26" ht="14.25" customHeight="1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</row>
    <row r="271" spans="1:26" ht="14.25" customHeight="1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</row>
    <row r="272" spans="1:26" ht="14.25" customHeight="1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</row>
    <row r="273" spans="1:26" ht="14.25" customHeight="1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</row>
    <row r="274" spans="1:26" ht="14.25" customHeight="1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</row>
    <row r="275" spans="1:26" ht="14.25" customHeight="1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</row>
    <row r="276" spans="1:26" ht="14.25" customHeight="1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</row>
    <row r="277" spans="1:26" ht="14.25" customHeight="1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</row>
    <row r="278" spans="1:26" ht="14.25" customHeight="1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</row>
    <row r="279" spans="1:26" ht="14.25" customHeight="1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</row>
    <row r="280" spans="1:26" ht="14.25" customHeight="1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</row>
    <row r="281" spans="1:26" ht="14.25" customHeight="1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</row>
    <row r="282" spans="1:26" ht="14.25" customHeight="1">
      <c r="A282" s="118"/>
      <c r="B282" s="118"/>
      <c r="C282" s="118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</row>
    <row r="283" spans="1:26" ht="14.25" customHeight="1">
      <c r="A283" s="118"/>
      <c r="B283" s="118"/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</row>
    <row r="284" spans="1:26" ht="14.25" customHeight="1">
      <c r="A284" s="118"/>
      <c r="B284" s="118"/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</row>
    <row r="285" spans="1:26" ht="14.25" customHeight="1">
      <c r="A285" s="118"/>
      <c r="B285" s="118"/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</row>
    <row r="286" spans="1:26" ht="14.25" customHeight="1">
      <c r="A286" s="118"/>
      <c r="B286" s="118"/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</row>
    <row r="287" spans="1:26" ht="14.25" customHeight="1">
      <c r="A287" s="118"/>
      <c r="B287" s="118"/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</row>
    <row r="288" spans="1:26" ht="14.25" customHeight="1">
      <c r="A288" s="118"/>
      <c r="B288" s="118"/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</row>
    <row r="289" spans="1:26" ht="14.25" customHeight="1">
      <c r="A289" s="118"/>
      <c r="B289" s="118"/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</row>
    <row r="290" spans="1:26" ht="14.25" customHeight="1">
      <c r="A290" s="118"/>
      <c r="B290" s="118"/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</row>
    <row r="291" spans="1:26" ht="14.25" customHeight="1">
      <c r="A291" s="118"/>
      <c r="B291" s="118"/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</row>
    <row r="292" spans="1:26" ht="14.25" customHeight="1">
      <c r="A292" s="118"/>
      <c r="B292" s="118"/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</row>
    <row r="293" spans="1:26" ht="14.25" customHeight="1">
      <c r="A293" s="118"/>
      <c r="B293" s="118"/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</row>
    <row r="294" spans="1:26" ht="14.25" customHeight="1">
      <c r="A294" s="118"/>
      <c r="B294" s="118"/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</row>
    <row r="295" spans="1:26" ht="14.25" customHeight="1">
      <c r="A295" s="118"/>
      <c r="B295" s="118"/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</row>
    <row r="296" spans="1:26" ht="14.25" customHeight="1">
      <c r="A296" s="118"/>
      <c r="B296" s="118"/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</row>
    <row r="297" spans="1:26" ht="14.25" customHeight="1">
      <c r="A297" s="118"/>
      <c r="B297" s="118"/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</row>
    <row r="298" spans="1:26" ht="14.25" customHeight="1">
      <c r="A298" s="118"/>
      <c r="B298" s="118"/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</row>
    <row r="299" spans="1:26" ht="14.25" customHeight="1">
      <c r="A299" s="118"/>
      <c r="B299" s="118"/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</row>
    <row r="300" spans="1:26" ht="14.25" customHeight="1">
      <c r="A300" s="118"/>
      <c r="B300" s="118"/>
      <c r="C300" s="118"/>
      <c r="D300" s="118"/>
      <c r="E300" s="118"/>
      <c r="F300" s="118"/>
      <c r="G300" s="118"/>
      <c r="H300" s="118"/>
      <c r="I300" s="118"/>
      <c r="J300" s="118"/>
      <c r="K300" s="118"/>
      <c r="L300" s="118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</row>
    <row r="301" spans="1:26" ht="14.25" customHeight="1">
      <c r="A301" s="118"/>
      <c r="B301" s="118"/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</row>
    <row r="302" spans="1:26" ht="14.25" customHeight="1">
      <c r="A302" s="118"/>
      <c r="B302" s="118"/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</row>
    <row r="303" spans="1:26" ht="14.25" customHeight="1">
      <c r="A303" s="118"/>
      <c r="B303" s="118"/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</row>
    <row r="304" spans="1:26" ht="14.25" customHeight="1">
      <c r="A304" s="118"/>
      <c r="B304" s="118"/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</row>
    <row r="305" spans="1:26" ht="14.25" customHeight="1">
      <c r="A305" s="118"/>
      <c r="B305" s="118"/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</row>
    <row r="306" spans="1:26" ht="14.25" customHeight="1">
      <c r="A306" s="118"/>
      <c r="B306" s="118"/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</row>
    <row r="307" spans="1:26" ht="14.25" customHeight="1">
      <c r="A307" s="118"/>
      <c r="B307" s="118"/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</row>
    <row r="308" spans="1:26" ht="14.25" customHeight="1">
      <c r="A308" s="118"/>
      <c r="B308" s="118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</row>
    <row r="309" spans="1:26" ht="14.25" customHeight="1">
      <c r="A309" s="118"/>
      <c r="B309" s="118"/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</row>
    <row r="310" spans="1:26" ht="14.25" customHeight="1">
      <c r="A310" s="118"/>
      <c r="B310" s="118"/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</row>
    <row r="311" spans="1:26" ht="14.25" customHeight="1">
      <c r="A311" s="118"/>
      <c r="B311" s="118"/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</row>
    <row r="312" spans="1:26" ht="14.25" customHeight="1">
      <c r="A312" s="118"/>
      <c r="B312" s="118"/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</row>
    <row r="313" spans="1:26" ht="14.25" customHeight="1">
      <c r="A313" s="118"/>
      <c r="B313" s="118"/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</row>
    <row r="314" spans="1:26" ht="14.25" customHeight="1">
      <c r="A314" s="118"/>
      <c r="B314" s="118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</row>
    <row r="315" spans="1:26" ht="14.25" customHeight="1">
      <c r="A315" s="118"/>
      <c r="B315" s="118"/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</row>
    <row r="316" spans="1:26" ht="14.25" customHeight="1">
      <c r="A316" s="118"/>
      <c r="B316" s="118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</row>
    <row r="317" spans="1:26" ht="14.25" customHeight="1">
      <c r="A317" s="118"/>
      <c r="B317" s="118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</row>
    <row r="318" spans="1:26" ht="14.25" customHeight="1">
      <c r="A318" s="118"/>
      <c r="B318" s="118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</row>
    <row r="319" spans="1:26" ht="14.25" customHeight="1">
      <c r="A319" s="118"/>
      <c r="B319" s="118"/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</row>
    <row r="320" spans="1:26" ht="14.25" customHeight="1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</row>
    <row r="321" spans="1:26" ht="14.25" customHeight="1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</row>
    <row r="322" spans="1:26" ht="14.25" customHeight="1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</row>
    <row r="323" spans="1:26" ht="14.25" customHeight="1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</row>
    <row r="324" spans="1:26" ht="14.25" customHeight="1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</row>
    <row r="325" spans="1:26" ht="14.25" customHeight="1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</row>
    <row r="326" spans="1:26" ht="14.25" customHeight="1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</row>
    <row r="327" spans="1:26" ht="14.25" customHeight="1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</row>
    <row r="328" spans="1:26" ht="14.25" customHeight="1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</row>
    <row r="329" spans="1:26" ht="14.25" customHeight="1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</row>
    <row r="330" spans="1:26" ht="14.25" customHeight="1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</row>
    <row r="331" spans="1:26" ht="14.25" customHeight="1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</row>
    <row r="332" spans="1:26" ht="14.25" customHeight="1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</row>
    <row r="333" spans="1:26" ht="14.25" customHeight="1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</row>
    <row r="334" spans="1:26" ht="14.25" customHeight="1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</row>
    <row r="335" spans="1:26" ht="14.25" customHeight="1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</row>
    <row r="336" spans="1:26" ht="14.25" customHeight="1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</row>
    <row r="337" spans="1:26" ht="14.25" customHeight="1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</row>
    <row r="338" spans="1:26" ht="14.25" customHeight="1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</row>
    <row r="339" spans="1:26" ht="14.25" customHeight="1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</row>
    <row r="340" spans="1:26" ht="14.25" customHeight="1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</row>
    <row r="341" spans="1:26" ht="14.25" customHeight="1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</row>
    <row r="342" spans="1:26" ht="14.25" customHeight="1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</row>
    <row r="343" spans="1:26" ht="14.25" customHeight="1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</row>
    <row r="344" spans="1:26" ht="14.25" customHeight="1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</row>
    <row r="345" spans="1:26" ht="14.25" customHeight="1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</row>
    <row r="346" spans="1:26" ht="14.25" customHeight="1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</row>
    <row r="347" spans="1:26" ht="14.25" customHeight="1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</row>
    <row r="348" spans="1:26" ht="14.25" customHeight="1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</row>
    <row r="349" spans="1:26" ht="14.25" customHeight="1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</row>
    <row r="350" spans="1:26" ht="14.25" customHeight="1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</row>
    <row r="351" spans="1:26" ht="14.25" customHeight="1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</row>
    <row r="352" spans="1:26" ht="14.25" customHeight="1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</row>
    <row r="353" spans="1:26" ht="14.25" customHeight="1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</row>
    <row r="354" spans="1:26" ht="14.25" customHeight="1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</row>
    <row r="355" spans="1:26" ht="14.25" customHeight="1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</row>
    <row r="356" spans="1:26" ht="14.25" customHeight="1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</row>
    <row r="357" spans="1:26" ht="14.25" customHeight="1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</row>
    <row r="358" spans="1:26" ht="14.25" customHeight="1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</row>
    <row r="359" spans="1:26" ht="14.25" customHeight="1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</row>
    <row r="360" spans="1:26" ht="14.25" customHeight="1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</row>
    <row r="361" spans="1:26" ht="14.25" customHeight="1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</row>
    <row r="362" spans="1:26" ht="14.25" customHeight="1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</row>
    <row r="363" spans="1:26" ht="14.25" customHeight="1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</row>
    <row r="364" spans="1:26" ht="14.25" customHeight="1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</row>
    <row r="365" spans="1:26" ht="14.25" customHeight="1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</row>
    <row r="366" spans="1:26" ht="14.25" customHeight="1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</row>
    <row r="367" spans="1:26" ht="14.25" customHeight="1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</row>
    <row r="368" spans="1:26" ht="14.25" customHeight="1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</row>
    <row r="369" spans="1:26" ht="14.25" customHeight="1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</row>
    <row r="370" spans="1:26" ht="14.25" customHeight="1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</row>
    <row r="371" spans="1:26" ht="14.25" customHeight="1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</row>
    <row r="372" spans="1:26" ht="14.25" customHeight="1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</row>
    <row r="373" spans="1:26" ht="14.25" customHeight="1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</row>
    <row r="374" spans="1:26" ht="14.25" customHeight="1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</row>
    <row r="375" spans="1:26" ht="14.25" customHeight="1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</row>
    <row r="376" spans="1:26" ht="14.25" customHeight="1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</row>
    <row r="377" spans="1:26" ht="14.25" customHeight="1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</row>
    <row r="378" spans="1:26" ht="14.25" customHeight="1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</row>
    <row r="379" spans="1:26" ht="14.25" customHeight="1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</row>
    <row r="380" spans="1:26" ht="14.25" customHeight="1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</row>
    <row r="381" spans="1:26" ht="14.25" customHeight="1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</row>
    <row r="382" spans="1:26" ht="14.25" customHeight="1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</row>
    <row r="383" spans="1:26" ht="14.25" customHeight="1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</row>
    <row r="384" spans="1:26" ht="14.25" customHeight="1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</row>
    <row r="385" spans="1:26" ht="14.25" customHeight="1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</row>
    <row r="386" spans="1:26" ht="14.25" customHeight="1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</row>
    <row r="387" spans="1:26" ht="14.25" customHeight="1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</row>
    <row r="388" spans="1:26" ht="14.25" customHeight="1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</row>
    <row r="389" spans="1:26" ht="14.25" customHeight="1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</row>
    <row r="390" spans="1:26" ht="14.25" customHeight="1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</row>
    <row r="391" spans="1:26" ht="14.25" customHeight="1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</row>
    <row r="392" spans="1:26" ht="14.25" customHeight="1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</row>
    <row r="393" spans="1:26" ht="14.25" customHeight="1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</row>
    <row r="394" spans="1:26" ht="14.25" customHeight="1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</row>
    <row r="395" spans="1:26" ht="14.25" customHeight="1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</row>
    <row r="396" spans="1:26" ht="14.25" customHeight="1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</row>
    <row r="397" spans="1:26" ht="14.25" customHeight="1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</row>
    <row r="398" spans="1:26" ht="14.25" customHeight="1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</row>
    <row r="399" spans="1:26" ht="14.25" customHeight="1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</row>
    <row r="400" spans="1:26" ht="14.25" customHeight="1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</row>
    <row r="401" spans="1:26" ht="14.25" customHeight="1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</row>
    <row r="402" spans="1:26" ht="14.25" customHeight="1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</row>
    <row r="403" spans="1:26" ht="14.25" customHeight="1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</row>
    <row r="404" spans="1:26" ht="14.25" customHeight="1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</row>
    <row r="405" spans="1:26" ht="14.25" customHeight="1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</row>
    <row r="406" spans="1:26" ht="14.25" customHeight="1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</row>
    <row r="407" spans="1:26" ht="14.25" customHeight="1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</row>
    <row r="408" spans="1:26" ht="14.25" customHeight="1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</row>
    <row r="409" spans="1:26" ht="14.25" customHeight="1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</row>
    <row r="410" spans="1:26" ht="14.25" customHeight="1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</row>
    <row r="411" spans="1:26" ht="14.25" customHeight="1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</row>
    <row r="412" spans="1:26" ht="14.25" customHeight="1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</row>
    <row r="413" spans="1:26" ht="14.25" customHeight="1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</row>
    <row r="414" spans="1:26" ht="14.25" customHeight="1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</row>
    <row r="415" spans="1:26" ht="14.25" customHeight="1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</row>
    <row r="416" spans="1:26" ht="14.25" customHeight="1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</row>
    <row r="417" spans="1:26" ht="14.25" customHeight="1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</row>
    <row r="418" spans="1:26" ht="14.25" customHeight="1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</row>
    <row r="419" spans="1:26" ht="14.25" customHeight="1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</row>
    <row r="420" spans="1:26" ht="14.25" customHeight="1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</row>
    <row r="421" spans="1:26" ht="14.25" customHeight="1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</row>
    <row r="422" spans="1:26" ht="14.25" customHeight="1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</row>
    <row r="423" spans="1:26" ht="14.25" customHeight="1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</row>
    <row r="424" spans="1:26" ht="14.25" customHeight="1">
      <c r="A424" s="118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</row>
    <row r="425" spans="1:26" ht="14.25" customHeight="1">
      <c r="A425" s="118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</row>
    <row r="426" spans="1:26" ht="14.25" customHeight="1">
      <c r="A426" s="118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</row>
    <row r="427" spans="1:26" ht="14.25" customHeight="1">
      <c r="A427" s="118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</row>
    <row r="428" spans="1:26" ht="14.25" customHeight="1">
      <c r="A428" s="118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</row>
    <row r="429" spans="1:26" ht="14.25" customHeight="1">
      <c r="A429" s="118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</row>
    <row r="430" spans="1:26" ht="14.25" customHeight="1">
      <c r="A430" s="118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</row>
    <row r="431" spans="1:26" ht="14.25" customHeight="1">
      <c r="A431" s="118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</row>
    <row r="432" spans="1:26" ht="14.25" customHeight="1">
      <c r="A432" s="118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</row>
    <row r="433" spans="1:26" ht="14.25" customHeight="1">
      <c r="A433" s="118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</row>
    <row r="434" spans="1:26" ht="14.25" customHeight="1">
      <c r="A434" s="118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</row>
    <row r="435" spans="1:26" ht="14.25" customHeight="1">
      <c r="A435" s="118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</row>
    <row r="436" spans="1:26" ht="14.25" customHeight="1">
      <c r="A436" s="118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</row>
    <row r="437" spans="1:26" ht="14.25" customHeight="1">
      <c r="A437" s="118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</row>
    <row r="438" spans="1:26" ht="14.25" customHeight="1">
      <c r="A438" s="118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</row>
    <row r="439" spans="1:26" ht="14.25" customHeight="1">
      <c r="A439" s="118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</row>
    <row r="440" spans="1:26" ht="14.25" customHeight="1">
      <c r="A440" s="118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</row>
    <row r="441" spans="1:26" ht="14.25" customHeight="1">
      <c r="A441" s="118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</row>
    <row r="442" spans="1:26" ht="14.25" customHeight="1">
      <c r="A442" s="118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</row>
    <row r="443" spans="1:26" ht="14.25" customHeight="1">
      <c r="A443" s="118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</row>
    <row r="444" spans="1:26" ht="14.25" customHeight="1">
      <c r="A444" s="118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</row>
    <row r="445" spans="1:26" ht="14.25" customHeight="1">
      <c r="A445" s="118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</row>
    <row r="446" spans="1:26" ht="14.25" customHeight="1">
      <c r="A446" s="118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</row>
    <row r="447" spans="1:26" ht="14.25" customHeight="1">
      <c r="A447" s="118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</row>
    <row r="448" spans="1:26" ht="14.25" customHeight="1">
      <c r="A448" s="118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</row>
    <row r="449" spans="1:26" ht="14.25" customHeight="1">
      <c r="A449" s="118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</row>
    <row r="450" spans="1:26" ht="14.25" customHeight="1">
      <c r="A450" s="118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</row>
    <row r="451" spans="1:26" ht="14.25" customHeight="1">
      <c r="A451" s="118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</row>
    <row r="452" spans="1:26" ht="14.25" customHeight="1">
      <c r="A452" s="118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</row>
    <row r="453" spans="1:26" ht="14.25" customHeight="1">
      <c r="A453" s="118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</row>
    <row r="454" spans="1:26" ht="14.25" customHeight="1">
      <c r="A454" s="118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</row>
    <row r="455" spans="1:26" ht="14.25" customHeight="1">
      <c r="A455" s="118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</row>
    <row r="456" spans="1:26" ht="14.25" customHeight="1">
      <c r="A456" s="118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</row>
    <row r="457" spans="1:26" ht="14.25" customHeight="1">
      <c r="A457" s="118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</row>
    <row r="458" spans="1:26" ht="14.25" customHeight="1">
      <c r="A458" s="118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</row>
    <row r="459" spans="1:26" ht="14.25" customHeight="1">
      <c r="A459" s="118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</row>
    <row r="460" spans="1:26" ht="14.25" customHeight="1">
      <c r="A460" s="118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</row>
    <row r="461" spans="1:26" ht="14.25" customHeight="1">
      <c r="A461" s="118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</row>
    <row r="462" spans="1:26" ht="14.25" customHeight="1">
      <c r="A462" s="118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</row>
    <row r="463" spans="1:26" ht="14.25" customHeight="1">
      <c r="A463" s="118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</row>
    <row r="464" spans="1:26" ht="14.25" customHeight="1">
      <c r="A464" s="118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</row>
    <row r="465" spans="1:26" ht="14.25" customHeight="1">
      <c r="A465" s="118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</row>
    <row r="466" spans="1:26" ht="14.25" customHeight="1">
      <c r="A466" s="118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</row>
    <row r="467" spans="1:26" ht="14.25" customHeight="1">
      <c r="A467" s="118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</row>
    <row r="468" spans="1:26" ht="14.25" customHeight="1">
      <c r="A468" s="118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</row>
    <row r="469" spans="1:26" ht="14.25" customHeight="1">
      <c r="A469" s="118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</row>
    <row r="470" spans="1:26" ht="14.25" customHeight="1">
      <c r="A470" s="118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</row>
    <row r="471" spans="1:26" ht="14.25" customHeight="1">
      <c r="A471" s="118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</row>
    <row r="472" spans="1:26" ht="14.25" customHeight="1">
      <c r="A472" s="118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</row>
    <row r="473" spans="1:26" ht="14.25" customHeight="1">
      <c r="A473" s="118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</row>
    <row r="474" spans="1:26" ht="14.25" customHeight="1">
      <c r="A474" s="118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</row>
    <row r="475" spans="1:26" ht="14.25" customHeight="1">
      <c r="A475" s="118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</row>
    <row r="476" spans="1:26" ht="14.25" customHeight="1">
      <c r="A476" s="118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</row>
    <row r="477" spans="1:26" ht="14.25" customHeight="1">
      <c r="A477" s="118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</row>
    <row r="478" spans="1:26" ht="14.25" customHeight="1">
      <c r="A478" s="118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</row>
    <row r="479" spans="1:26" ht="14.25" customHeight="1">
      <c r="A479" s="118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</row>
    <row r="480" spans="1:26" ht="14.25" customHeight="1">
      <c r="A480" s="118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</row>
    <row r="481" spans="1:26" ht="14.25" customHeight="1">
      <c r="A481" s="118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</row>
    <row r="482" spans="1:26" ht="14.25" customHeight="1">
      <c r="A482" s="118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</row>
    <row r="483" spans="1:26" ht="14.25" customHeight="1">
      <c r="A483" s="118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</row>
    <row r="484" spans="1:26" ht="14.25" customHeight="1">
      <c r="A484" s="118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</row>
    <row r="485" spans="1:26" ht="14.25" customHeight="1">
      <c r="A485" s="118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</row>
    <row r="486" spans="1:26" ht="14.25" customHeight="1">
      <c r="A486" s="118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</row>
    <row r="487" spans="1:26" ht="14.25" customHeight="1">
      <c r="A487" s="118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</row>
    <row r="488" spans="1:26" ht="14.25" customHeight="1">
      <c r="A488" s="118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</row>
    <row r="489" spans="1:26" ht="14.25" customHeight="1">
      <c r="A489" s="118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</row>
    <row r="490" spans="1:26" ht="14.25" customHeight="1">
      <c r="A490" s="118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</row>
    <row r="491" spans="1:26" ht="14.25" customHeight="1">
      <c r="A491" s="118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</row>
    <row r="492" spans="1:26" ht="14.25" customHeight="1">
      <c r="A492" s="118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</row>
    <row r="493" spans="1:26" ht="14.25" customHeight="1">
      <c r="A493" s="118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</row>
    <row r="494" spans="1:26" ht="14.25" customHeight="1">
      <c r="A494" s="118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</row>
    <row r="495" spans="1:26" ht="14.25" customHeight="1">
      <c r="A495" s="118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</row>
    <row r="496" spans="1:26" ht="14.25" customHeight="1">
      <c r="A496" s="118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</row>
    <row r="497" spans="1:26" ht="14.25" customHeight="1">
      <c r="A497" s="118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</row>
    <row r="498" spans="1:26" ht="14.25" customHeight="1">
      <c r="A498" s="118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</row>
    <row r="499" spans="1:26" ht="14.25" customHeight="1">
      <c r="A499" s="118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</row>
    <row r="500" spans="1:26" ht="14.25" customHeight="1">
      <c r="A500" s="118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</row>
    <row r="501" spans="1:26" ht="14.25" customHeight="1">
      <c r="A501" s="118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</row>
    <row r="502" spans="1:26" ht="14.25" customHeight="1">
      <c r="A502" s="118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</row>
    <row r="503" spans="1:26" ht="14.25" customHeight="1">
      <c r="A503" s="118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</row>
    <row r="504" spans="1:26" ht="14.25" customHeight="1">
      <c r="A504" s="118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</row>
    <row r="505" spans="1:26" ht="14.25" customHeight="1">
      <c r="A505" s="118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</row>
    <row r="506" spans="1:26" ht="14.25" customHeight="1">
      <c r="A506" s="118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</row>
    <row r="507" spans="1:26" ht="14.25" customHeight="1">
      <c r="A507" s="118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</row>
    <row r="508" spans="1:26" ht="14.25" customHeight="1">
      <c r="A508" s="118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</row>
    <row r="509" spans="1:26" ht="14.25" customHeight="1">
      <c r="A509" s="118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</row>
    <row r="510" spans="1:26" ht="14.25" customHeight="1">
      <c r="A510" s="118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</row>
    <row r="511" spans="1:26" ht="14.25" customHeight="1">
      <c r="A511" s="118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</row>
    <row r="512" spans="1:26" ht="14.25" customHeight="1">
      <c r="A512" s="118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</row>
    <row r="513" spans="1:26" ht="14.25" customHeight="1">
      <c r="A513" s="118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</row>
    <row r="514" spans="1:26" ht="14.25" customHeight="1">
      <c r="A514" s="118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</row>
    <row r="515" spans="1:26" ht="14.25" customHeight="1">
      <c r="A515" s="118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</row>
    <row r="516" spans="1:26" ht="14.25" customHeight="1">
      <c r="A516" s="118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</row>
    <row r="517" spans="1:26" ht="14.25" customHeight="1">
      <c r="A517" s="118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</row>
    <row r="518" spans="1:26" ht="14.25" customHeight="1">
      <c r="A518" s="118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</row>
    <row r="519" spans="1:26" ht="14.25" customHeight="1">
      <c r="A519" s="118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</row>
    <row r="520" spans="1:26" ht="14.25" customHeight="1">
      <c r="A520" s="118"/>
      <c r="B520" s="118"/>
      <c r="C520" s="118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</row>
    <row r="521" spans="1:26" ht="14.25" customHeight="1">
      <c r="A521" s="118"/>
      <c r="B521" s="118"/>
      <c r="C521" s="118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</row>
    <row r="522" spans="1:26" ht="14.25" customHeight="1">
      <c r="A522" s="118"/>
      <c r="B522" s="118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</row>
    <row r="523" spans="1:26" ht="14.25" customHeight="1">
      <c r="A523" s="118"/>
      <c r="B523" s="118"/>
      <c r="C523" s="118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</row>
    <row r="524" spans="1:26" ht="14.25" customHeight="1">
      <c r="A524" s="118"/>
      <c r="B524" s="118"/>
      <c r="C524" s="118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</row>
    <row r="525" spans="1:26" ht="14.25" customHeight="1">
      <c r="A525" s="118"/>
      <c r="B525" s="118"/>
      <c r="C525" s="118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</row>
    <row r="526" spans="1:26" ht="14.25" customHeight="1">
      <c r="A526" s="118"/>
      <c r="B526" s="118"/>
      <c r="C526" s="118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</row>
    <row r="527" spans="1:26" ht="14.25" customHeight="1">
      <c r="A527" s="118"/>
      <c r="B527" s="118"/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</row>
    <row r="528" spans="1:26" ht="14.25" customHeight="1">
      <c r="A528" s="118"/>
      <c r="B528" s="118"/>
      <c r="C528" s="118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</row>
    <row r="529" spans="1:26" ht="14.25" customHeight="1">
      <c r="A529" s="118"/>
      <c r="B529" s="118"/>
      <c r="C529" s="118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</row>
    <row r="530" spans="1:26" ht="14.25" customHeight="1">
      <c r="A530" s="118"/>
      <c r="B530" s="118"/>
      <c r="C530" s="118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</row>
    <row r="531" spans="1:26" ht="14.25" customHeight="1">
      <c r="A531" s="118"/>
      <c r="B531" s="118"/>
      <c r="C531" s="118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</row>
    <row r="532" spans="1:26" ht="14.25" customHeight="1">
      <c r="A532" s="118"/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</row>
    <row r="533" spans="1:26" ht="14.25" customHeight="1">
      <c r="A533" s="118"/>
      <c r="B533" s="118"/>
      <c r="C533" s="118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</row>
    <row r="534" spans="1:26" ht="14.25" customHeight="1">
      <c r="A534" s="118"/>
      <c r="B534" s="118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</row>
    <row r="535" spans="1:26" ht="14.25" customHeight="1">
      <c r="A535" s="118"/>
      <c r="B535" s="118"/>
      <c r="C535" s="118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</row>
    <row r="536" spans="1:26" ht="14.25" customHeight="1">
      <c r="A536" s="118"/>
      <c r="B536" s="118"/>
      <c r="C536" s="118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</row>
    <row r="537" spans="1:26" ht="14.25" customHeight="1">
      <c r="A537" s="118"/>
      <c r="B537" s="118"/>
      <c r="C537" s="118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</row>
    <row r="538" spans="1:26" ht="14.25" customHeight="1">
      <c r="A538" s="118"/>
      <c r="B538" s="118"/>
      <c r="C538" s="118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</row>
    <row r="539" spans="1:26" ht="14.25" customHeight="1">
      <c r="A539" s="118"/>
      <c r="B539" s="118"/>
      <c r="C539" s="118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</row>
    <row r="540" spans="1:26" ht="14.25" customHeight="1">
      <c r="A540" s="118"/>
      <c r="B540" s="118"/>
      <c r="C540" s="118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</row>
    <row r="541" spans="1:26" ht="14.25" customHeight="1">
      <c r="A541" s="118"/>
      <c r="B541" s="118"/>
      <c r="C541" s="118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</row>
    <row r="542" spans="1:26" ht="14.25" customHeight="1">
      <c r="A542" s="118"/>
      <c r="B542" s="118"/>
      <c r="C542" s="118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</row>
    <row r="543" spans="1:26" ht="14.25" customHeight="1">
      <c r="A543" s="118"/>
      <c r="B543" s="118"/>
      <c r="C543" s="118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</row>
    <row r="544" spans="1:26" ht="14.25" customHeight="1">
      <c r="A544" s="118"/>
      <c r="B544" s="118"/>
      <c r="C544" s="118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</row>
    <row r="545" spans="1:26" ht="14.25" customHeight="1">
      <c r="A545" s="118"/>
      <c r="B545" s="118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</row>
    <row r="546" spans="1:26" ht="14.25" customHeight="1">
      <c r="A546" s="118"/>
      <c r="B546" s="118"/>
      <c r="C546" s="118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</row>
    <row r="547" spans="1:26" ht="14.25" customHeight="1">
      <c r="A547" s="118"/>
      <c r="B547" s="118"/>
      <c r="C547" s="118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</row>
    <row r="548" spans="1:26" ht="14.25" customHeight="1">
      <c r="A548" s="118"/>
      <c r="B548" s="118"/>
      <c r="C548" s="118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</row>
    <row r="549" spans="1:26" ht="14.25" customHeight="1">
      <c r="A549" s="118"/>
      <c r="B549" s="118"/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</row>
    <row r="550" spans="1:26" ht="14.25" customHeight="1">
      <c r="A550" s="118"/>
      <c r="B550" s="118"/>
      <c r="C550" s="118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</row>
    <row r="551" spans="1:26" ht="14.25" customHeight="1">
      <c r="A551" s="118"/>
      <c r="B551" s="118"/>
      <c r="C551" s="118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</row>
    <row r="552" spans="1:26" ht="14.25" customHeight="1">
      <c r="A552" s="118"/>
      <c r="B552" s="118"/>
      <c r="C552" s="118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</row>
    <row r="553" spans="1:26" ht="14.25" customHeight="1">
      <c r="A553" s="118"/>
      <c r="B553" s="118"/>
      <c r="C553" s="118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</row>
    <row r="554" spans="1:26" ht="14.25" customHeight="1">
      <c r="A554" s="118"/>
      <c r="B554" s="118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</row>
    <row r="555" spans="1:26" ht="14.25" customHeight="1">
      <c r="A555" s="118"/>
      <c r="B555" s="118"/>
      <c r="C555" s="118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</row>
    <row r="556" spans="1:26" ht="14.25" customHeight="1">
      <c r="A556" s="118"/>
      <c r="B556" s="118"/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</row>
    <row r="557" spans="1:26" ht="14.25" customHeight="1">
      <c r="A557" s="118"/>
      <c r="B557" s="118"/>
      <c r="C557" s="118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</row>
    <row r="558" spans="1:26" ht="14.25" customHeight="1">
      <c r="A558" s="118"/>
      <c r="B558" s="118"/>
      <c r="C558" s="118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</row>
    <row r="559" spans="1:26" ht="14.25" customHeight="1">
      <c r="A559" s="118"/>
      <c r="B559" s="118"/>
      <c r="C559" s="118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18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  <c r="Z559" s="118"/>
    </row>
    <row r="560" spans="1:26" ht="14.25" customHeight="1">
      <c r="A560" s="118"/>
      <c r="B560" s="118"/>
      <c r="C560" s="118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18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  <c r="Z560" s="118"/>
    </row>
    <row r="561" spans="1:26" ht="14.25" customHeight="1">
      <c r="A561" s="118"/>
      <c r="B561" s="118"/>
      <c r="C561" s="118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18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  <c r="Z561" s="118"/>
    </row>
    <row r="562" spans="1:26" ht="14.25" customHeight="1">
      <c r="A562" s="118"/>
      <c r="B562" s="118"/>
      <c r="C562" s="118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18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  <c r="Z562" s="118"/>
    </row>
    <row r="563" spans="1:26" ht="14.25" customHeight="1">
      <c r="A563" s="118"/>
      <c r="B563" s="118"/>
      <c r="C563" s="118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18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  <c r="Z563" s="118"/>
    </row>
    <row r="564" spans="1:26" ht="14.25" customHeight="1">
      <c r="A564" s="118"/>
      <c r="B564" s="118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18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  <c r="Z564" s="118"/>
    </row>
    <row r="565" spans="1:26" ht="14.25" customHeight="1">
      <c r="A565" s="118"/>
      <c r="B565" s="118"/>
      <c r="C565" s="118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18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  <c r="Z565" s="118"/>
    </row>
    <row r="566" spans="1:26" ht="14.25" customHeight="1">
      <c r="A566" s="118"/>
      <c r="B566" s="118"/>
      <c r="C566" s="118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18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  <c r="Z566" s="118"/>
    </row>
    <row r="567" spans="1:26" ht="14.25" customHeight="1">
      <c r="A567" s="118"/>
      <c r="B567" s="118"/>
      <c r="C567" s="118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18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  <c r="Z567" s="118"/>
    </row>
    <row r="568" spans="1:26" ht="14.25" customHeight="1">
      <c r="A568" s="118"/>
      <c r="B568" s="118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18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  <c r="Z568" s="118"/>
    </row>
    <row r="569" spans="1:26" ht="14.25" customHeight="1">
      <c r="A569" s="118"/>
      <c r="B569" s="118"/>
      <c r="C569" s="118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18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  <c r="Z569" s="118"/>
    </row>
    <row r="570" spans="1:26" ht="14.25" customHeight="1">
      <c r="A570" s="118"/>
      <c r="B570" s="118"/>
      <c r="C570" s="118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18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  <c r="Z570" s="118"/>
    </row>
    <row r="571" spans="1:26" ht="14.25" customHeight="1">
      <c r="A571" s="118"/>
      <c r="B571" s="118"/>
      <c r="C571" s="118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18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  <c r="Z571" s="118"/>
    </row>
    <row r="572" spans="1:26" ht="14.25" customHeight="1">
      <c r="A572" s="118"/>
      <c r="B572" s="118"/>
      <c r="C572" s="118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18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  <c r="Z572" s="118"/>
    </row>
    <row r="573" spans="1:26" ht="14.25" customHeight="1">
      <c r="A573" s="118"/>
      <c r="B573" s="118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18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  <c r="Z573" s="118"/>
    </row>
    <row r="574" spans="1:26" ht="14.25" customHeight="1">
      <c r="A574" s="118"/>
      <c r="B574" s="118"/>
      <c r="C574" s="118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18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  <c r="Z574" s="118"/>
    </row>
    <row r="575" spans="1:26" ht="14.25" customHeight="1">
      <c r="A575" s="118"/>
      <c r="B575" s="118"/>
      <c r="C575" s="118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18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  <c r="Z575" s="118"/>
    </row>
    <row r="576" spans="1:26" ht="14.25" customHeight="1">
      <c r="A576" s="118"/>
      <c r="B576" s="118"/>
      <c r="C576" s="118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18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  <c r="Z576" s="118"/>
    </row>
    <row r="577" spans="1:26" ht="14.25" customHeight="1">
      <c r="A577" s="118"/>
      <c r="B577" s="118"/>
      <c r="C577" s="118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18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  <c r="Z577" s="118"/>
    </row>
    <row r="578" spans="1:26" ht="14.25" customHeight="1">
      <c r="A578" s="118"/>
      <c r="B578" s="118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18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  <c r="Z578" s="118"/>
    </row>
    <row r="579" spans="1:26" ht="14.25" customHeight="1">
      <c r="A579" s="118"/>
      <c r="B579" s="118"/>
      <c r="C579" s="118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18"/>
      <c r="O579" s="118"/>
      <c r="P579" s="118"/>
      <c r="Q579" s="118"/>
      <c r="R579" s="118"/>
      <c r="S579" s="118"/>
      <c r="T579" s="118"/>
      <c r="U579" s="118"/>
      <c r="V579" s="118"/>
      <c r="W579" s="118"/>
      <c r="X579" s="118"/>
      <c r="Y579" s="118"/>
      <c r="Z579" s="118"/>
    </row>
    <row r="580" spans="1:26" ht="14.25" customHeight="1">
      <c r="A580" s="118"/>
      <c r="B580" s="118"/>
      <c r="C580" s="118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18"/>
      <c r="O580" s="118"/>
      <c r="P580" s="118"/>
      <c r="Q580" s="118"/>
      <c r="R580" s="118"/>
      <c r="S580" s="118"/>
      <c r="T580" s="118"/>
      <c r="U580" s="118"/>
      <c r="V580" s="118"/>
      <c r="W580" s="118"/>
      <c r="X580" s="118"/>
      <c r="Y580" s="118"/>
      <c r="Z580" s="118"/>
    </row>
    <row r="581" spans="1:26" ht="14.25" customHeight="1">
      <c r="A581" s="118"/>
      <c r="B581" s="118"/>
      <c r="C581" s="118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18"/>
      <c r="O581" s="118"/>
      <c r="P581" s="118"/>
      <c r="Q581" s="118"/>
      <c r="R581" s="118"/>
      <c r="S581" s="118"/>
      <c r="T581" s="118"/>
      <c r="U581" s="118"/>
      <c r="V581" s="118"/>
      <c r="W581" s="118"/>
      <c r="X581" s="118"/>
      <c r="Y581" s="118"/>
      <c r="Z581" s="118"/>
    </row>
    <row r="582" spans="1:26" ht="14.25" customHeight="1">
      <c r="A582" s="118"/>
      <c r="B582" s="118"/>
      <c r="C582" s="118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18"/>
      <c r="O582" s="118"/>
      <c r="P582" s="118"/>
      <c r="Q582" s="118"/>
      <c r="R582" s="118"/>
      <c r="S582" s="118"/>
      <c r="T582" s="118"/>
      <c r="U582" s="118"/>
      <c r="V582" s="118"/>
      <c r="W582" s="118"/>
      <c r="X582" s="118"/>
      <c r="Y582" s="118"/>
      <c r="Z582" s="118"/>
    </row>
    <row r="583" spans="1:26" ht="14.25" customHeight="1">
      <c r="A583" s="118"/>
      <c r="B583" s="118"/>
      <c r="C583" s="118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18"/>
      <c r="O583" s="118"/>
      <c r="P583" s="118"/>
      <c r="Q583" s="118"/>
      <c r="R583" s="118"/>
      <c r="S583" s="118"/>
      <c r="T583" s="118"/>
      <c r="U583" s="118"/>
      <c r="V583" s="118"/>
      <c r="W583" s="118"/>
      <c r="X583" s="118"/>
      <c r="Y583" s="118"/>
      <c r="Z583" s="118"/>
    </row>
    <row r="584" spans="1:26" ht="14.25" customHeight="1">
      <c r="A584" s="118"/>
      <c r="B584" s="118"/>
      <c r="C584" s="118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18"/>
      <c r="O584" s="118"/>
      <c r="P584" s="118"/>
      <c r="Q584" s="118"/>
      <c r="R584" s="118"/>
      <c r="S584" s="118"/>
      <c r="T584" s="118"/>
      <c r="U584" s="118"/>
      <c r="V584" s="118"/>
      <c r="W584" s="118"/>
      <c r="X584" s="118"/>
      <c r="Y584" s="118"/>
      <c r="Z584" s="118"/>
    </row>
    <row r="585" spans="1:26" ht="14.25" customHeight="1">
      <c r="A585" s="118"/>
      <c r="B585" s="118"/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18"/>
      <c r="O585" s="118"/>
      <c r="P585" s="118"/>
      <c r="Q585" s="118"/>
      <c r="R585" s="118"/>
      <c r="S585" s="118"/>
      <c r="T585" s="118"/>
      <c r="U585" s="118"/>
      <c r="V585" s="118"/>
      <c r="W585" s="118"/>
      <c r="X585" s="118"/>
      <c r="Y585" s="118"/>
      <c r="Z585" s="118"/>
    </row>
    <row r="586" spans="1:26" ht="14.25" customHeight="1">
      <c r="A586" s="118"/>
      <c r="B586" s="118"/>
      <c r="C586" s="118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18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  <c r="Y586" s="118"/>
      <c r="Z586" s="118"/>
    </row>
    <row r="587" spans="1:26" ht="14.25" customHeight="1">
      <c r="A587" s="118"/>
      <c r="B587" s="118"/>
      <c r="C587" s="118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18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  <c r="Y587" s="118"/>
      <c r="Z587" s="118"/>
    </row>
    <row r="588" spans="1:26" ht="14.25" customHeight="1">
      <c r="A588" s="118"/>
      <c r="B588" s="118"/>
      <c r="C588" s="118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18"/>
      <c r="O588" s="118"/>
      <c r="P588" s="118"/>
      <c r="Q588" s="118"/>
      <c r="R588" s="118"/>
      <c r="S588" s="118"/>
      <c r="T588" s="118"/>
      <c r="U588" s="118"/>
      <c r="V588" s="118"/>
      <c r="W588" s="118"/>
      <c r="X588" s="118"/>
      <c r="Y588" s="118"/>
      <c r="Z588" s="118"/>
    </row>
    <row r="589" spans="1:26" ht="14.25" customHeight="1">
      <c r="A589" s="118"/>
      <c r="B589" s="118"/>
      <c r="C589" s="118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18"/>
      <c r="O589" s="118"/>
      <c r="P589" s="118"/>
      <c r="Q589" s="118"/>
      <c r="R589" s="118"/>
      <c r="S589" s="118"/>
      <c r="T589" s="118"/>
      <c r="U589" s="118"/>
      <c r="V589" s="118"/>
      <c r="W589" s="118"/>
      <c r="X589" s="118"/>
      <c r="Y589" s="118"/>
      <c r="Z589" s="118"/>
    </row>
    <row r="590" spans="1:26" ht="14.25" customHeight="1">
      <c r="A590" s="118"/>
      <c r="B590" s="118"/>
      <c r="C590" s="118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18"/>
      <c r="O590" s="118"/>
      <c r="P590" s="118"/>
      <c r="Q590" s="118"/>
      <c r="R590" s="118"/>
      <c r="S590" s="118"/>
      <c r="T590" s="118"/>
      <c r="U590" s="118"/>
      <c r="V590" s="118"/>
      <c r="W590" s="118"/>
      <c r="X590" s="118"/>
      <c r="Y590" s="118"/>
      <c r="Z590" s="118"/>
    </row>
    <row r="591" spans="1:26" ht="14.25" customHeight="1">
      <c r="A591" s="118"/>
      <c r="B591" s="118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18"/>
      <c r="O591" s="118"/>
      <c r="P591" s="118"/>
      <c r="Q591" s="118"/>
      <c r="R591" s="118"/>
      <c r="S591" s="118"/>
      <c r="T591" s="118"/>
      <c r="U591" s="118"/>
      <c r="V591" s="118"/>
      <c r="W591" s="118"/>
      <c r="X591" s="118"/>
      <c r="Y591" s="118"/>
      <c r="Z591" s="118"/>
    </row>
    <row r="592" spans="1:26" ht="14.25" customHeight="1">
      <c r="A592" s="118"/>
      <c r="B592" s="118"/>
      <c r="C592" s="118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18"/>
      <c r="O592" s="118"/>
      <c r="P592" s="118"/>
      <c r="Q592" s="118"/>
      <c r="R592" s="118"/>
      <c r="S592" s="118"/>
      <c r="T592" s="118"/>
      <c r="U592" s="118"/>
      <c r="V592" s="118"/>
      <c r="W592" s="118"/>
      <c r="X592" s="118"/>
      <c r="Y592" s="118"/>
      <c r="Z592" s="118"/>
    </row>
    <row r="593" spans="1:26" ht="14.25" customHeight="1">
      <c r="A593" s="118"/>
      <c r="B593" s="118"/>
      <c r="C593" s="118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18"/>
      <c r="O593" s="118"/>
      <c r="P593" s="118"/>
      <c r="Q593" s="118"/>
      <c r="R593" s="118"/>
      <c r="S593" s="118"/>
      <c r="T593" s="118"/>
      <c r="U593" s="118"/>
      <c r="V593" s="118"/>
      <c r="W593" s="118"/>
      <c r="X593" s="118"/>
      <c r="Y593" s="118"/>
      <c r="Z593" s="118"/>
    </row>
    <row r="594" spans="1:26" ht="14.25" customHeight="1">
      <c r="A594" s="118"/>
      <c r="B594" s="118"/>
      <c r="C594" s="118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18"/>
      <c r="O594" s="118"/>
      <c r="P594" s="118"/>
      <c r="Q594" s="118"/>
      <c r="R594" s="118"/>
      <c r="S594" s="118"/>
      <c r="T594" s="118"/>
      <c r="U594" s="118"/>
      <c r="V594" s="118"/>
      <c r="W594" s="118"/>
      <c r="X594" s="118"/>
      <c r="Y594" s="118"/>
      <c r="Z594" s="118"/>
    </row>
    <row r="595" spans="1:26" ht="14.25" customHeight="1">
      <c r="A595" s="118"/>
      <c r="B595" s="118"/>
      <c r="C595" s="118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18"/>
      <c r="O595" s="118"/>
      <c r="P595" s="118"/>
      <c r="Q595" s="118"/>
      <c r="R595" s="118"/>
      <c r="S595" s="118"/>
      <c r="T595" s="118"/>
      <c r="U595" s="118"/>
      <c r="V595" s="118"/>
      <c r="W595" s="118"/>
      <c r="X595" s="118"/>
      <c r="Y595" s="118"/>
      <c r="Z595" s="118"/>
    </row>
    <row r="596" spans="1:26" ht="14.25" customHeight="1">
      <c r="A596" s="118"/>
      <c r="B596" s="118"/>
      <c r="C596" s="118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18"/>
      <c r="O596" s="118"/>
      <c r="P596" s="118"/>
      <c r="Q596" s="118"/>
      <c r="R596" s="118"/>
      <c r="S596" s="118"/>
      <c r="T596" s="118"/>
      <c r="U596" s="118"/>
      <c r="V596" s="118"/>
      <c r="W596" s="118"/>
      <c r="X596" s="118"/>
      <c r="Y596" s="118"/>
      <c r="Z596" s="118"/>
    </row>
    <row r="597" spans="1:26" ht="14.25" customHeight="1">
      <c r="A597" s="118"/>
      <c r="B597" s="118"/>
      <c r="C597" s="118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18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  <c r="Y597" s="118"/>
      <c r="Z597" s="118"/>
    </row>
    <row r="598" spans="1:26" ht="14.25" customHeight="1">
      <c r="A598" s="118"/>
      <c r="B598" s="118"/>
      <c r="C598" s="118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18"/>
      <c r="O598" s="118"/>
      <c r="P598" s="118"/>
      <c r="Q598" s="118"/>
      <c r="R598" s="118"/>
      <c r="S598" s="118"/>
      <c r="T598" s="118"/>
      <c r="U598" s="118"/>
      <c r="V598" s="118"/>
      <c r="W598" s="118"/>
      <c r="X598" s="118"/>
      <c r="Y598" s="118"/>
      <c r="Z598" s="118"/>
    </row>
    <row r="599" spans="1:26" ht="14.25" customHeight="1">
      <c r="A599" s="118"/>
      <c r="B599" s="118"/>
      <c r="C599" s="118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18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  <c r="Y599" s="118"/>
      <c r="Z599" s="118"/>
    </row>
    <row r="600" spans="1:26" ht="14.25" customHeight="1">
      <c r="A600" s="118"/>
      <c r="B600" s="118"/>
      <c r="C600" s="118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18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  <c r="Y600" s="118"/>
      <c r="Z600" s="118"/>
    </row>
    <row r="601" spans="1:26" ht="14.25" customHeight="1">
      <c r="A601" s="118"/>
      <c r="B601" s="118"/>
      <c r="C601" s="118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18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  <c r="Y601" s="118"/>
      <c r="Z601" s="118"/>
    </row>
    <row r="602" spans="1:26" ht="14.25" customHeight="1">
      <c r="A602" s="118"/>
      <c r="B602" s="118"/>
      <c r="C602" s="118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18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  <c r="Y602" s="118"/>
      <c r="Z602" s="118"/>
    </row>
    <row r="603" spans="1:26" ht="14.25" customHeight="1">
      <c r="A603" s="118"/>
      <c r="B603" s="118"/>
      <c r="C603" s="118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18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  <c r="Y603" s="118"/>
      <c r="Z603" s="118"/>
    </row>
    <row r="604" spans="1:26" ht="14.25" customHeight="1">
      <c r="A604" s="118"/>
      <c r="B604" s="118"/>
      <c r="C604" s="118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18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  <c r="Y604" s="118"/>
      <c r="Z604" s="118"/>
    </row>
    <row r="605" spans="1:26" ht="14.25" customHeight="1">
      <c r="A605" s="118"/>
      <c r="B605" s="118"/>
      <c r="C605" s="118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18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  <c r="Y605" s="118"/>
      <c r="Z605" s="118"/>
    </row>
    <row r="606" spans="1:26" ht="14.25" customHeight="1">
      <c r="A606" s="118"/>
      <c r="B606" s="118"/>
      <c r="C606" s="118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18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  <c r="Y606" s="118"/>
      <c r="Z606" s="118"/>
    </row>
    <row r="607" spans="1:26" ht="14.25" customHeight="1">
      <c r="A607" s="118"/>
      <c r="B607" s="118"/>
      <c r="C607" s="118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18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  <c r="Y607" s="118"/>
      <c r="Z607" s="118"/>
    </row>
    <row r="608" spans="1:26" ht="14.25" customHeight="1">
      <c r="A608" s="118"/>
      <c r="B608" s="118"/>
      <c r="C608" s="118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18"/>
      <c r="O608" s="118"/>
      <c r="P608" s="118"/>
      <c r="Q608" s="118"/>
      <c r="R608" s="118"/>
      <c r="S608" s="118"/>
      <c r="T608" s="118"/>
      <c r="U608" s="118"/>
      <c r="V608" s="118"/>
      <c r="W608" s="118"/>
      <c r="X608" s="118"/>
      <c r="Y608" s="118"/>
      <c r="Z608" s="118"/>
    </row>
    <row r="609" spans="1:26" ht="14.25" customHeight="1">
      <c r="A609" s="118"/>
      <c r="B609" s="118"/>
      <c r="C609" s="118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18"/>
      <c r="O609" s="118"/>
      <c r="P609" s="118"/>
      <c r="Q609" s="118"/>
      <c r="R609" s="118"/>
      <c r="S609" s="118"/>
      <c r="T609" s="118"/>
      <c r="U609" s="118"/>
      <c r="V609" s="118"/>
      <c r="W609" s="118"/>
      <c r="X609" s="118"/>
      <c r="Y609" s="118"/>
      <c r="Z609" s="118"/>
    </row>
    <row r="610" spans="1:26" ht="14.25" customHeight="1">
      <c r="A610" s="118"/>
      <c r="B610" s="118"/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18"/>
      <c r="O610" s="118"/>
      <c r="P610" s="118"/>
      <c r="Q610" s="118"/>
      <c r="R610" s="118"/>
      <c r="S610" s="118"/>
      <c r="T610" s="118"/>
      <c r="U610" s="118"/>
      <c r="V610" s="118"/>
      <c r="W610" s="118"/>
      <c r="X610" s="118"/>
      <c r="Y610" s="118"/>
      <c r="Z610" s="118"/>
    </row>
    <row r="611" spans="1:26" ht="14.25" customHeight="1">
      <c r="A611" s="118"/>
      <c r="B611" s="118"/>
      <c r="C611" s="118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18"/>
      <c r="O611" s="118"/>
      <c r="P611" s="118"/>
      <c r="Q611" s="118"/>
      <c r="R611" s="118"/>
      <c r="S611" s="118"/>
      <c r="T611" s="118"/>
      <c r="U611" s="118"/>
      <c r="V611" s="118"/>
      <c r="W611" s="118"/>
      <c r="X611" s="118"/>
      <c r="Y611" s="118"/>
      <c r="Z611" s="118"/>
    </row>
    <row r="612" spans="1:26" ht="14.25" customHeight="1">
      <c r="A612" s="118"/>
      <c r="B612" s="118"/>
      <c r="C612" s="118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18"/>
      <c r="O612" s="118"/>
      <c r="P612" s="118"/>
      <c r="Q612" s="118"/>
      <c r="R612" s="118"/>
      <c r="S612" s="118"/>
      <c r="T612" s="118"/>
      <c r="U612" s="118"/>
      <c r="V612" s="118"/>
      <c r="W612" s="118"/>
      <c r="X612" s="118"/>
      <c r="Y612" s="118"/>
      <c r="Z612" s="118"/>
    </row>
    <row r="613" spans="1:26" ht="14.25" customHeight="1">
      <c r="A613" s="118"/>
      <c r="B613" s="118"/>
      <c r="C613" s="118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18"/>
      <c r="O613" s="118"/>
      <c r="P613" s="118"/>
      <c r="Q613" s="118"/>
      <c r="R613" s="118"/>
      <c r="S613" s="118"/>
      <c r="T613" s="118"/>
      <c r="U613" s="118"/>
      <c r="V613" s="118"/>
      <c r="W613" s="118"/>
      <c r="X613" s="118"/>
      <c r="Y613" s="118"/>
      <c r="Z613" s="118"/>
    </row>
    <row r="614" spans="1:26" ht="14.25" customHeight="1">
      <c r="A614" s="118"/>
      <c r="B614" s="118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18"/>
      <c r="O614" s="118"/>
      <c r="P614" s="118"/>
      <c r="Q614" s="118"/>
      <c r="R614" s="118"/>
      <c r="S614" s="118"/>
      <c r="T614" s="118"/>
      <c r="U614" s="118"/>
      <c r="V614" s="118"/>
      <c r="W614" s="118"/>
      <c r="X614" s="118"/>
      <c r="Y614" s="118"/>
      <c r="Z614" s="118"/>
    </row>
    <row r="615" spans="1:26" ht="14.25" customHeight="1">
      <c r="A615" s="118"/>
      <c r="B615" s="118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18"/>
      <c r="O615" s="118"/>
      <c r="P615" s="118"/>
      <c r="Q615" s="118"/>
      <c r="R615" s="118"/>
      <c r="S615" s="118"/>
      <c r="T615" s="118"/>
      <c r="U615" s="118"/>
      <c r="V615" s="118"/>
      <c r="W615" s="118"/>
      <c r="X615" s="118"/>
      <c r="Y615" s="118"/>
      <c r="Z615" s="118"/>
    </row>
    <row r="616" spans="1:26" ht="14.25" customHeight="1">
      <c r="A616" s="118"/>
      <c r="B616" s="118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18"/>
      <c r="O616" s="118"/>
      <c r="P616" s="118"/>
      <c r="Q616" s="118"/>
      <c r="R616" s="118"/>
      <c r="S616" s="118"/>
      <c r="T616" s="118"/>
      <c r="U616" s="118"/>
      <c r="V616" s="118"/>
      <c r="W616" s="118"/>
      <c r="X616" s="118"/>
      <c r="Y616" s="118"/>
      <c r="Z616" s="118"/>
    </row>
    <row r="617" spans="1:26" ht="14.25" customHeight="1">
      <c r="A617" s="118"/>
      <c r="B617" s="118"/>
      <c r="C617" s="118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18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  <c r="Y617" s="118"/>
      <c r="Z617" s="118"/>
    </row>
    <row r="618" spans="1:26" ht="14.25" customHeight="1">
      <c r="A618" s="118"/>
      <c r="B618" s="118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18"/>
      <c r="O618" s="118"/>
      <c r="P618" s="118"/>
      <c r="Q618" s="118"/>
      <c r="R618" s="118"/>
      <c r="S618" s="118"/>
      <c r="T618" s="118"/>
      <c r="U618" s="118"/>
      <c r="V618" s="118"/>
      <c r="W618" s="118"/>
      <c r="X618" s="118"/>
      <c r="Y618" s="118"/>
      <c r="Z618" s="118"/>
    </row>
    <row r="619" spans="1:26" ht="14.25" customHeight="1">
      <c r="A619" s="118"/>
      <c r="B619" s="118"/>
      <c r="C619" s="118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18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  <c r="Y619" s="118"/>
      <c r="Z619" s="118"/>
    </row>
    <row r="620" spans="1:26" ht="14.25" customHeight="1">
      <c r="A620" s="118"/>
      <c r="B620" s="118"/>
      <c r="C620" s="118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18"/>
      <c r="O620" s="118"/>
      <c r="P620" s="118"/>
      <c r="Q620" s="118"/>
      <c r="R620" s="118"/>
      <c r="S620" s="118"/>
      <c r="T620" s="118"/>
      <c r="U620" s="118"/>
      <c r="V620" s="118"/>
      <c r="W620" s="118"/>
      <c r="X620" s="118"/>
      <c r="Y620" s="118"/>
      <c r="Z620" s="118"/>
    </row>
    <row r="621" spans="1:26" ht="14.25" customHeight="1">
      <c r="A621" s="118"/>
      <c r="B621" s="118"/>
      <c r="C621" s="118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18"/>
      <c r="O621" s="118"/>
      <c r="P621" s="118"/>
      <c r="Q621" s="118"/>
      <c r="R621" s="118"/>
      <c r="S621" s="118"/>
      <c r="T621" s="118"/>
      <c r="U621" s="118"/>
      <c r="V621" s="118"/>
      <c r="W621" s="118"/>
      <c r="X621" s="118"/>
      <c r="Y621" s="118"/>
      <c r="Z621" s="118"/>
    </row>
    <row r="622" spans="1:26" ht="14.25" customHeight="1">
      <c r="A622" s="118"/>
      <c r="B622" s="118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18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  <c r="Y622" s="118"/>
      <c r="Z622" s="118"/>
    </row>
    <row r="623" spans="1:26" ht="14.25" customHeight="1">
      <c r="A623" s="118"/>
      <c r="B623" s="118"/>
      <c r="C623" s="118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18"/>
      <c r="O623" s="118"/>
      <c r="P623" s="118"/>
      <c r="Q623" s="118"/>
      <c r="R623" s="118"/>
      <c r="S623" s="118"/>
      <c r="T623" s="118"/>
      <c r="U623" s="118"/>
      <c r="V623" s="118"/>
      <c r="W623" s="118"/>
      <c r="X623" s="118"/>
      <c r="Y623" s="118"/>
      <c r="Z623" s="118"/>
    </row>
    <row r="624" spans="1:26" ht="14.25" customHeight="1">
      <c r="A624" s="118"/>
      <c r="B624" s="118"/>
      <c r="C624" s="118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18"/>
      <c r="O624" s="118"/>
      <c r="P624" s="118"/>
      <c r="Q624" s="118"/>
      <c r="R624" s="118"/>
      <c r="S624" s="118"/>
      <c r="T624" s="118"/>
      <c r="U624" s="118"/>
      <c r="V624" s="118"/>
      <c r="W624" s="118"/>
      <c r="X624" s="118"/>
      <c r="Y624" s="118"/>
      <c r="Z624" s="118"/>
    </row>
    <row r="625" spans="1:26" ht="14.25" customHeight="1">
      <c r="A625" s="118"/>
      <c r="B625" s="118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18"/>
      <c r="O625" s="118"/>
      <c r="P625" s="118"/>
      <c r="Q625" s="118"/>
      <c r="R625" s="118"/>
      <c r="S625" s="118"/>
      <c r="T625" s="118"/>
      <c r="U625" s="118"/>
      <c r="V625" s="118"/>
      <c r="W625" s="118"/>
      <c r="X625" s="118"/>
      <c r="Y625" s="118"/>
      <c r="Z625" s="118"/>
    </row>
    <row r="626" spans="1:26" ht="14.25" customHeight="1">
      <c r="A626" s="118"/>
      <c r="B626" s="118"/>
      <c r="C626" s="118"/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18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  <c r="Y626" s="118"/>
      <c r="Z626" s="118"/>
    </row>
    <row r="627" spans="1:26" ht="14.25" customHeight="1">
      <c r="A627" s="118"/>
      <c r="B627" s="118"/>
      <c r="C627" s="118"/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N627" s="118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  <c r="Y627" s="118"/>
      <c r="Z627" s="118"/>
    </row>
    <row r="628" spans="1:26" ht="14.25" customHeight="1">
      <c r="A628" s="118"/>
      <c r="B628" s="118"/>
      <c r="C628" s="118"/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18"/>
      <c r="O628" s="118"/>
      <c r="P628" s="118"/>
      <c r="Q628" s="118"/>
      <c r="R628" s="118"/>
      <c r="S628" s="118"/>
      <c r="T628" s="118"/>
      <c r="U628" s="118"/>
      <c r="V628" s="118"/>
      <c r="W628" s="118"/>
      <c r="X628" s="118"/>
      <c r="Y628" s="118"/>
      <c r="Z628" s="118"/>
    </row>
    <row r="629" spans="1:26" ht="14.25" customHeight="1">
      <c r="A629" s="118"/>
      <c r="B629" s="118"/>
      <c r="C629" s="118"/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18"/>
      <c r="O629" s="118"/>
      <c r="P629" s="118"/>
      <c r="Q629" s="118"/>
      <c r="R629" s="118"/>
      <c r="S629" s="118"/>
      <c r="T629" s="118"/>
      <c r="U629" s="118"/>
      <c r="V629" s="118"/>
      <c r="W629" s="118"/>
      <c r="X629" s="118"/>
      <c r="Y629" s="118"/>
      <c r="Z629" s="118"/>
    </row>
    <row r="630" spans="1:26" ht="14.25" customHeight="1">
      <c r="A630" s="118"/>
      <c r="B630" s="118"/>
      <c r="C630" s="118"/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N630" s="118"/>
      <c r="O630" s="118"/>
      <c r="P630" s="118"/>
      <c r="Q630" s="118"/>
      <c r="R630" s="118"/>
      <c r="S630" s="118"/>
      <c r="T630" s="118"/>
      <c r="U630" s="118"/>
      <c r="V630" s="118"/>
      <c r="W630" s="118"/>
      <c r="X630" s="118"/>
      <c r="Y630" s="118"/>
      <c r="Z630" s="118"/>
    </row>
    <row r="631" spans="1:26" ht="14.25" customHeight="1">
      <c r="A631" s="118"/>
      <c r="B631" s="118"/>
      <c r="C631" s="118"/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N631" s="118"/>
      <c r="O631" s="118"/>
      <c r="P631" s="118"/>
      <c r="Q631" s="118"/>
      <c r="R631" s="118"/>
      <c r="S631" s="118"/>
      <c r="T631" s="118"/>
      <c r="U631" s="118"/>
      <c r="V631" s="118"/>
      <c r="W631" s="118"/>
      <c r="X631" s="118"/>
      <c r="Y631" s="118"/>
      <c r="Z631" s="118"/>
    </row>
    <row r="632" spans="1:26" ht="14.25" customHeight="1">
      <c r="A632" s="118"/>
      <c r="B632" s="118"/>
      <c r="C632" s="118"/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18"/>
      <c r="O632" s="118"/>
      <c r="P632" s="118"/>
      <c r="Q632" s="118"/>
      <c r="R632" s="118"/>
      <c r="S632" s="118"/>
      <c r="T632" s="118"/>
      <c r="U632" s="118"/>
      <c r="V632" s="118"/>
      <c r="W632" s="118"/>
      <c r="X632" s="118"/>
      <c r="Y632" s="118"/>
      <c r="Z632" s="118"/>
    </row>
    <row r="633" spans="1:26" ht="14.25" customHeight="1">
      <c r="A633" s="118"/>
      <c r="B633" s="118"/>
      <c r="C633" s="118"/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N633" s="118"/>
      <c r="O633" s="118"/>
      <c r="P633" s="118"/>
      <c r="Q633" s="118"/>
      <c r="R633" s="118"/>
      <c r="S633" s="118"/>
      <c r="T633" s="118"/>
      <c r="U633" s="118"/>
      <c r="V633" s="118"/>
      <c r="W633" s="118"/>
      <c r="X633" s="118"/>
      <c r="Y633" s="118"/>
      <c r="Z633" s="118"/>
    </row>
    <row r="634" spans="1:26" ht="14.25" customHeight="1">
      <c r="A634" s="118"/>
      <c r="B634" s="118"/>
      <c r="C634" s="118"/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N634" s="118"/>
      <c r="O634" s="118"/>
      <c r="P634" s="118"/>
      <c r="Q634" s="118"/>
      <c r="R634" s="118"/>
      <c r="S634" s="118"/>
      <c r="T634" s="118"/>
      <c r="U634" s="118"/>
      <c r="V634" s="118"/>
      <c r="W634" s="118"/>
      <c r="X634" s="118"/>
      <c r="Y634" s="118"/>
      <c r="Z634" s="118"/>
    </row>
    <row r="635" spans="1:26" ht="14.25" customHeight="1">
      <c r="A635" s="118"/>
      <c r="B635" s="118"/>
      <c r="C635" s="118"/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18"/>
      <c r="O635" s="118"/>
      <c r="P635" s="118"/>
      <c r="Q635" s="118"/>
      <c r="R635" s="118"/>
      <c r="S635" s="118"/>
      <c r="T635" s="118"/>
      <c r="U635" s="118"/>
      <c r="V635" s="118"/>
      <c r="W635" s="118"/>
      <c r="X635" s="118"/>
      <c r="Y635" s="118"/>
      <c r="Z635" s="118"/>
    </row>
    <row r="636" spans="1:26" ht="14.25" customHeight="1">
      <c r="A636" s="118"/>
      <c r="B636" s="118"/>
      <c r="C636" s="118"/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N636" s="118"/>
      <c r="O636" s="118"/>
      <c r="P636" s="118"/>
      <c r="Q636" s="118"/>
      <c r="R636" s="118"/>
      <c r="S636" s="118"/>
      <c r="T636" s="118"/>
      <c r="U636" s="118"/>
      <c r="V636" s="118"/>
      <c r="W636" s="118"/>
      <c r="X636" s="118"/>
      <c r="Y636" s="118"/>
      <c r="Z636" s="118"/>
    </row>
    <row r="637" spans="1:26" ht="14.25" customHeight="1">
      <c r="A637" s="118"/>
      <c r="B637" s="118"/>
      <c r="C637" s="118"/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18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  <c r="Y637" s="118"/>
      <c r="Z637" s="118"/>
    </row>
    <row r="638" spans="1:26" ht="14.25" customHeight="1">
      <c r="A638" s="118"/>
      <c r="B638" s="118"/>
      <c r="C638" s="118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18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  <c r="Y638" s="118"/>
      <c r="Z638" s="118"/>
    </row>
    <row r="639" spans="1:26" ht="14.25" customHeight="1">
      <c r="A639" s="118"/>
      <c r="B639" s="118"/>
      <c r="C639" s="118"/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N639" s="118"/>
      <c r="O639" s="118"/>
      <c r="P639" s="118"/>
      <c r="Q639" s="118"/>
      <c r="R639" s="118"/>
      <c r="S639" s="118"/>
      <c r="T639" s="118"/>
      <c r="U639" s="118"/>
      <c r="V639" s="118"/>
      <c r="W639" s="118"/>
      <c r="X639" s="118"/>
      <c r="Y639" s="118"/>
      <c r="Z639" s="118"/>
    </row>
    <row r="640" spans="1:26" ht="14.25" customHeight="1">
      <c r="A640" s="118"/>
      <c r="B640" s="118"/>
      <c r="C640" s="118"/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N640" s="118"/>
      <c r="O640" s="118"/>
      <c r="P640" s="118"/>
      <c r="Q640" s="118"/>
      <c r="R640" s="118"/>
      <c r="S640" s="118"/>
      <c r="T640" s="118"/>
      <c r="U640" s="118"/>
      <c r="V640" s="118"/>
      <c r="W640" s="118"/>
      <c r="X640" s="118"/>
      <c r="Y640" s="118"/>
      <c r="Z640" s="118"/>
    </row>
    <row r="641" spans="1:26" ht="14.25" customHeight="1">
      <c r="A641" s="118"/>
      <c r="B641" s="118"/>
      <c r="C641" s="118"/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N641" s="118"/>
      <c r="O641" s="118"/>
      <c r="P641" s="118"/>
      <c r="Q641" s="118"/>
      <c r="R641" s="118"/>
      <c r="S641" s="118"/>
      <c r="T641" s="118"/>
      <c r="U641" s="118"/>
      <c r="V641" s="118"/>
      <c r="W641" s="118"/>
      <c r="X641" s="118"/>
      <c r="Y641" s="118"/>
      <c r="Z641" s="118"/>
    </row>
    <row r="642" spans="1:26" ht="14.25" customHeight="1">
      <c r="A642" s="118"/>
      <c r="B642" s="118"/>
      <c r="C642" s="118"/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N642" s="118"/>
      <c r="O642" s="118"/>
      <c r="P642" s="118"/>
      <c r="Q642" s="118"/>
      <c r="R642" s="118"/>
      <c r="S642" s="118"/>
      <c r="T642" s="118"/>
      <c r="U642" s="118"/>
      <c r="V642" s="118"/>
      <c r="W642" s="118"/>
      <c r="X642" s="118"/>
      <c r="Y642" s="118"/>
      <c r="Z642" s="118"/>
    </row>
    <row r="643" spans="1:26" ht="14.25" customHeight="1">
      <c r="A643" s="118"/>
      <c r="B643" s="118"/>
      <c r="C643" s="118"/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N643" s="118"/>
      <c r="O643" s="118"/>
      <c r="P643" s="118"/>
      <c r="Q643" s="118"/>
      <c r="R643" s="118"/>
      <c r="S643" s="118"/>
      <c r="T643" s="118"/>
      <c r="U643" s="118"/>
      <c r="V643" s="118"/>
      <c r="W643" s="118"/>
      <c r="X643" s="118"/>
      <c r="Y643" s="118"/>
      <c r="Z643" s="118"/>
    </row>
    <row r="644" spans="1:26" ht="14.25" customHeight="1">
      <c r="A644" s="118"/>
      <c r="B644" s="118"/>
      <c r="C644" s="118"/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18"/>
      <c r="O644" s="118"/>
      <c r="P644" s="118"/>
      <c r="Q644" s="118"/>
      <c r="R644" s="118"/>
      <c r="S644" s="118"/>
      <c r="T644" s="118"/>
      <c r="U644" s="118"/>
      <c r="V644" s="118"/>
      <c r="W644" s="118"/>
      <c r="X644" s="118"/>
      <c r="Y644" s="118"/>
      <c r="Z644" s="118"/>
    </row>
    <row r="645" spans="1:26" ht="14.25" customHeight="1">
      <c r="A645" s="118"/>
      <c r="B645" s="118"/>
      <c r="C645" s="118"/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N645" s="118"/>
      <c r="O645" s="118"/>
      <c r="P645" s="118"/>
      <c r="Q645" s="118"/>
      <c r="R645" s="118"/>
      <c r="S645" s="118"/>
      <c r="T645" s="118"/>
      <c r="U645" s="118"/>
      <c r="V645" s="118"/>
      <c r="W645" s="118"/>
      <c r="X645" s="118"/>
      <c r="Y645" s="118"/>
      <c r="Z645" s="118"/>
    </row>
    <row r="646" spans="1:26" ht="14.25" customHeight="1">
      <c r="A646" s="118"/>
      <c r="B646" s="118"/>
      <c r="C646" s="118"/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N646" s="118"/>
      <c r="O646" s="118"/>
      <c r="P646" s="118"/>
      <c r="Q646" s="118"/>
      <c r="R646" s="118"/>
      <c r="S646" s="118"/>
      <c r="T646" s="118"/>
      <c r="U646" s="118"/>
      <c r="V646" s="118"/>
      <c r="W646" s="118"/>
      <c r="X646" s="118"/>
      <c r="Y646" s="118"/>
      <c r="Z646" s="118"/>
    </row>
    <row r="647" spans="1:26" ht="14.25" customHeight="1">
      <c r="A647" s="118"/>
      <c r="B647" s="118"/>
      <c r="C647" s="118"/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18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  <c r="Y647" s="118"/>
      <c r="Z647" s="118"/>
    </row>
    <row r="648" spans="1:26" ht="14.25" customHeight="1">
      <c r="A648" s="118"/>
      <c r="B648" s="118"/>
      <c r="C648" s="118"/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18"/>
      <c r="O648" s="118"/>
      <c r="P648" s="118"/>
      <c r="Q648" s="118"/>
      <c r="R648" s="118"/>
      <c r="S648" s="118"/>
      <c r="T648" s="118"/>
      <c r="U648" s="118"/>
      <c r="V648" s="118"/>
      <c r="W648" s="118"/>
      <c r="X648" s="118"/>
      <c r="Y648" s="118"/>
      <c r="Z648" s="118"/>
    </row>
    <row r="649" spans="1:26" ht="14.25" customHeight="1">
      <c r="A649" s="118"/>
      <c r="B649" s="118"/>
      <c r="C649" s="118"/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N649" s="118"/>
      <c r="O649" s="118"/>
      <c r="P649" s="118"/>
      <c r="Q649" s="118"/>
      <c r="R649" s="118"/>
      <c r="S649" s="118"/>
      <c r="T649" s="118"/>
      <c r="U649" s="118"/>
      <c r="V649" s="118"/>
      <c r="W649" s="118"/>
      <c r="X649" s="118"/>
      <c r="Y649" s="118"/>
      <c r="Z649" s="118"/>
    </row>
    <row r="650" spans="1:26" ht="14.25" customHeight="1">
      <c r="A650" s="118"/>
      <c r="B650" s="118"/>
      <c r="C650" s="118"/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N650" s="118"/>
      <c r="O650" s="118"/>
      <c r="P650" s="118"/>
      <c r="Q650" s="118"/>
      <c r="R650" s="118"/>
      <c r="S650" s="118"/>
      <c r="T650" s="118"/>
      <c r="U650" s="118"/>
      <c r="V650" s="118"/>
      <c r="W650" s="118"/>
      <c r="X650" s="118"/>
      <c r="Y650" s="118"/>
      <c r="Z650" s="118"/>
    </row>
    <row r="651" spans="1:26" ht="14.25" customHeight="1">
      <c r="A651" s="118"/>
      <c r="B651" s="118"/>
      <c r="C651" s="118"/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18"/>
      <c r="O651" s="118"/>
      <c r="P651" s="118"/>
      <c r="Q651" s="118"/>
      <c r="R651" s="118"/>
      <c r="S651" s="118"/>
      <c r="T651" s="118"/>
      <c r="U651" s="118"/>
      <c r="V651" s="118"/>
      <c r="W651" s="118"/>
      <c r="X651" s="118"/>
      <c r="Y651" s="118"/>
      <c r="Z651" s="118"/>
    </row>
    <row r="652" spans="1:26" ht="14.25" customHeight="1">
      <c r="A652" s="118"/>
      <c r="B652" s="118"/>
      <c r="C652" s="118"/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N652" s="118"/>
      <c r="O652" s="118"/>
      <c r="P652" s="118"/>
      <c r="Q652" s="118"/>
      <c r="R652" s="118"/>
      <c r="S652" s="118"/>
      <c r="T652" s="118"/>
      <c r="U652" s="118"/>
      <c r="V652" s="118"/>
      <c r="W652" s="118"/>
      <c r="X652" s="118"/>
      <c r="Y652" s="118"/>
      <c r="Z652" s="118"/>
    </row>
    <row r="653" spans="1:26" ht="14.25" customHeight="1">
      <c r="A653" s="118"/>
      <c r="B653" s="118"/>
      <c r="C653" s="118"/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N653" s="118"/>
      <c r="O653" s="118"/>
      <c r="P653" s="118"/>
      <c r="Q653" s="118"/>
      <c r="R653" s="118"/>
      <c r="S653" s="118"/>
      <c r="T653" s="118"/>
      <c r="U653" s="118"/>
      <c r="V653" s="118"/>
      <c r="W653" s="118"/>
      <c r="X653" s="118"/>
      <c r="Y653" s="118"/>
      <c r="Z653" s="118"/>
    </row>
    <row r="654" spans="1:26" ht="14.25" customHeight="1">
      <c r="A654" s="118"/>
      <c r="B654" s="118"/>
      <c r="C654" s="118"/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N654" s="118"/>
      <c r="O654" s="118"/>
      <c r="P654" s="118"/>
      <c r="Q654" s="118"/>
      <c r="R654" s="118"/>
      <c r="S654" s="118"/>
      <c r="T654" s="118"/>
      <c r="U654" s="118"/>
      <c r="V654" s="118"/>
      <c r="W654" s="118"/>
      <c r="X654" s="118"/>
      <c r="Y654" s="118"/>
      <c r="Z654" s="118"/>
    </row>
    <row r="655" spans="1:26" ht="14.25" customHeight="1">
      <c r="A655" s="118"/>
      <c r="B655" s="118"/>
      <c r="C655" s="118"/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N655" s="118"/>
      <c r="O655" s="118"/>
      <c r="P655" s="118"/>
      <c r="Q655" s="118"/>
      <c r="R655" s="118"/>
      <c r="S655" s="118"/>
      <c r="T655" s="118"/>
      <c r="U655" s="118"/>
      <c r="V655" s="118"/>
      <c r="W655" s="118"/>
      <c r="X655" s="118"/>
      <c r="Y655" s="118"/>
      <c r="Z655" s="118"/>
    </row>
    <row r="656" spans="1:26" ht="14.25" customHeight="1">
      <c r="A656" s="118"/>
      <c r="B656" s="118"/>
      <c r="C656" s="118"/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N656" s="118"/>
      <c r="O656" s="118"/>
      <c r="P656" s="118"/>
      <c r="Q656" s="118"/>
      <c r="R656" s="118"/>
      <c r="S656" s="118"/>
      <c r="T656" s="118"/>
      <c r="U656" s="118"/>
      <c r="V656" s="118"/>
      <c r="W656" s="118"/>
      <c r="X656" s="118"/>
      <c r="Y656" s="118"/>
      <c r="Z656" s="118"/>
    </row>
    <row r="657" spans="1:26" ht="14.25" customHeight="1">
      <c r="A657" s="118"/>
      <c r="B657" s="118"/>
      <c r="C657" s="118"/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N657" s="118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  <c r="Y657" s="118"/>
      <c r="Z657" s="118"/>
    </row>
    <row r="658" spans="1:26" ht="14.25" customHeight="1">
      <c r="A658" s="118"/>
      <c r="B658" s="118"/>
      <c r="C658" s="118"/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N658" s="118"/>
      <c r="O658" s="118"/>
      <c r="P658" s="118"/>
      <c r="Q658" s="118"/>
      <c r="R658" s="118"/>
      <c r="S658" s="118"/>
      <c r="T658" s="118"/>
      <c r="U658" s="118"/>
      <c r="V658" s="118"/>
      <c r="W658" s="118"/>
      <c r="X658" s="118"/>
      <c r="Y658" s="118"/>
      <c r="Z658" s="118"/>
    </row>
    <row r="659" spans="1:26" ht="14.25" customHeight="1">
      <c r="A659" s="118"/>
      <c r="B659" s="118"/>
      <c r="C659" s="118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18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  <c r="Y659" s="118"/>
      <c r="Z659" s="118"/>
    </row>
    <row r="660" spans="1:26" ht="14.25" customHeight="1">
      <c r="A660" s="118"/>
      <c r="B660" s="118"/>
      <c r="C660" s="118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18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  <c r="Y660" s="118"/>
      <c r="Z660" s="118"/>
    </row>
    <row r="661" spans="1:26" ht="14.25" customHeight="1">
      <c r="A661" s="118"/>
      <c r="B661" s="118"/>
      <c r="C661" s="118"/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18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  <c r="Y661" s="118"/>
      <c r="Z661" s="118"/>
    </row>
    <row r="662" spans="1:26" ht="14.25" customHeight="1">
      <c r="A662" s="118"/>
      <c r="B662" s="118"/>
      <c r="C662" s="118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18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  <c r="Y662" s="118"/>
      <c r="Z662" s="118"/>
    </row>
    <row r="663" spans="1:26" ht="14.25" customHeight="1">
      <c r="A663" s="118"/>
      <c r="B663" s="118"/>
      <c r="C663" s="118"/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18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  <c r="Y663" s="118"/>
      <c r="Z663" s="118"/>
    </row>
    <row r="664" spans="1:26" ht="14.25" customHeight="1">
      <c r="A664" s="118"/>
      <c r="B664" s="118"/>
      <c r="C664" s="118"/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18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  <c r="Y664" s="118"/>
      <c r="Z664" s="118"/>
    </row>
    <row r="665" spans="1:26" ht="14.25" customHeight="1">
      <c r="A665" s="118"/>
      <c r="B665" s="118"/>
      <c r="C665" s="118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18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  <c r="Y665" s="118"/>
      <c r="Z665" s="118"/>
    </row>
    <row r="666" spans="1:26" ht="14.25" customHeight="1">
      <c r="A666" s="118"/>
      <c r="B666" s="118"/>
      <c r="C666" s="118"/>
      <c r="D666" s="118"/>
      <c r="E666" s="118"/>
      <c r="F666" s="118"/>
      <c r="G666" s="118"/>
      <c r="H666" s="118"/>
      <c r="I666" s="118"/>
      <c r="J666" s="118"/>
      <c r="K666" s="118"/>
      <c r="L666" s="118"/>
      <c r="M666" s="118"/>
      <c r="N666" s="118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  <c r="Y666" s="118"/>
      <c r="Z666" s="118"/>
    </row>
    <row r="667" spans="1:26" ht="14.25" customHeight="1">
      <c r="A667" s="118"/>
      <c r="B667" s="118"/>
      <c r="C667" s="118"/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18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  <c r="Y667" s="118"/>
      <c r="Z667" s="118"/>
    </row>
    <row r="668" spans="1:26" ht="14.25" customHeight="1">
      <c r="A668" s="118"/>
      <c r="B668" s="118"/>
      <c r="C668" s="118"/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18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  <c r="Y668" s="118"/>
      <c r="Z668" s="118"/>
    </row>
    <row r="669" spans="1:26" ht="14.25" customHeight="1">
      <c r="A669" s="118"/>
      <c r="B669" s="118"/>
      <c r="C669" s="118"/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18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  <c r="Y669" s="118"/>
      <c r="Z669" s="118"/>
    </row>
    <row r="670" spans="1:26" ht="14.25" customHeight="1">
      <c r="A670" s="118"/>
      <c r="B670" s="118"/>
      <c r="C670" s="118"/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18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  <c r="Y670" s="118"/>
      <c r="Z670" s="118"/>
    </row>
    <row r="671" spans="1:26" ht="14.25" customHeight="1">
      <c r="A671" s="118"/>
      <c r="B671" s="118"/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18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  <c r="Y671" s="118"/>
      <c r="Z671" s="118"/>
    </row>
    <row r="672" spans="1:26" ht="14.25" customHeight="1">
      <c r="A672" s="118"/>
      <c r="B672" s="118"/>
      <c r="C672" s="118"/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18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  <c r="Y672" s="118"/>
      <c r="Z672" s="118"/>
    </row>
    <row r="673" spans="1:26" ht="14.25" customHeight="1">
      <c r="A673" s="118"/>
      <c r="B673" s="118"/>
      <c r="C673" s="118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18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  <c r="Y673" s="118"/>
      <c r="Z673" s="118"/>
    </row>
    <row r="674" spans="1:26" ht="14.25" customHeight="1">
      <c r="A674" s="118"/>
      <c r="B674" s="118"/>
      <c r="C674" s="118"/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18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  <c r="Y674" s="118"/>
      <c r="Z674" s="118"/>
    </row>
    <row r="675" spans="1:26" ht="14.25" customHeight="1">
      <c r="A675" s="118"/>
      <c r="B675" s="118"/>
      <c r="C675" s="118"/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18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  <c r="Y675" s="118"/>
      <c r="Z675" s="118"/>
    </row>
    <row r="676" spans="1:26" ht="14.25" customHeight="1">
      <c r="A676" s="118"/>
      <c r="B676" s="118"/>
      <c r="C676" s="118"/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18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  <c r="Y676" s="118"/>
      <c r="Z676" s="118"/>
    </row>
    <row r="677" spans="1:26" ht="14.25" customHeight="1">
      <c r="A677" s="118"/>
      <c r="B677" s="118"/>
      <c r="C677" s="118"/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18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  <c r="Y677" s="118"/>
      <c r="Z677" s="118"/>
    </row>
    <row r="678" spans="1:26" ht="14.25" customHeight="1">
      <c r="A678" s="118"/>
      <c r="B678" s="118"/>
      <c r="C678" s="118"/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18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  <c r="Y678" s="118"/>
      <c r="Z678" s="118"/>
    </row>
    <row r="679" spans="1:26" ht="14.25" customHeight="1">
      <c r="A679" s="118"/>
      <c r="B679" s="118"/>
      <c r="C679" s="118"/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18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  <c r="Y679" s="118"/>
      <c r="Z679" s="118"/>
    </row>
    <row r="680" spans="1:26" ht="14.25" customHeight="1">
      <c r="A680" s="118"/>
      <c r="B680" s="118"/>
      <c r="C680" s="118"/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18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  <c r="Y680" s="118"/>
      <c r="Z680" s="118"/>
    </row>
    <row r="681" spans="1:26" ht="14.25" customHeight="1">
      <c r="A681" s="118"/>
      <c r="B681" s="118"/>
      <c r="C681" s="118"/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18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  <c r="Y681" s="118"/>
      <c r="Z681" s="118"/>
    </row>
    <row r="682" spans="1:26" ht="14.25" customHeight="1">
      <c r="A682" s="118"/>
      <c r="B682" s="118"/>
      <c r="C682" s="118"/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18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  <c r="Y682" s="118"/>
      <c r="Z682" s="118"/>
    </row>
    <row r="683" spans="1:26" ht="14.25" customHeight="1">
      <c r="A683" s="118"/>
      <c r="B683" s="118"/>
      <c r="C683" s="118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18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  <c r="Y683" s="118"/>
      <c r="Z683" s="118"/>
    </row>
    <row r="684" spans="1:26" ht="14.25" customHeight="1">
      <c r="A684" s="118"/>
      <c r="B684" s="118"/>
      <c r="C684" s="118"/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18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  <c r="Y684" s="118"/>
      <c r="Z684" s="118"/>
    </row>
    <row r="685" spans="1:26" ht="14.25" customHeight="1">
      <c r="A685" s="118"/>
      <c r="B685" s="118"/>
      <c r="C685" s="118"/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18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  <c r="Y685" s="118"/>
      <c r="Z685" s="118"/>
    </row>
    <row r="686" spans="1:26" ht="14.25" customHeight="1">
      <c r="A686" s="118"/>
      <c r="B686" s="118"/>
      <c r="C686" s="118"/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18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  <c r="Y686" s="118"/>
      <c r="Z686" s="118"/>
    </row>
    <row r="687" spans="1:26" ht="14.25" customHeight="1">
      <c r="A687" s="118"/>
      <c r="B687" s="118"/>
      <c r="C687" s="118"/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18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  <c r="Y687" s="118"/>
      <c r="Z687" s="118"/>
    </row>
    <row r="688" spans="1:26" ht="14.25" customHeight="1">
      <c r="A688" s="118"/>
      <c r="B688" s="118"/>
      <c r="C688" s="118"/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18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  <c r="Y688" s="118"/>
      <c r="Z688" s="118"/>
    </row>
    <row r="689" spans="1:26" ht="14.25" customHeight="1">
      <c r="A689" s="118"/>
      <c r="B689" s="118"/>
      <c r="C689" s="118"/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18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  <c r="Y689" s="118"/>
      <c r="Z689" s="118"/>
    </row>
    <row r="690" spans="1:26" ht="14.25" customHeight="1">
      <c r="A690" s="118"/>
      <c r="B690" s="118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18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  <c r="Y690" s="118"/>
      <c r="Z690" s="118"/>
    </row>
    <row r="691" spans="1:26" ht="14.25" customHeight="1">
      <c r="A691" s="118"/>
      <c r="B691" s="118"/>
      <c r="C691" s="118"/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18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  <c r="Y691" s="118"/>
      <c r="Z691" s="118"/>
    </row>
    <row r="692" spans="1:26" ht="14.25" customHeight="1">
      <c r="A692" s="118"/>
      <c r="B692" s="118"/>
      <c r="C692" s="118"/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18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  <c r="Y692" s="118"/>
      <c r="Z692" s="118"/>
    </row>
    <row r="693" spans="1:26" ht="14.25" customHeight="1">
      <c r="A693" s="118"/>
      <c r="B693" s="118"/>
      <c r="C693" s="118"/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18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  <c r="Y693" s="118"/>
      <c r="Z693" s="118"/>
    </row>
    <row r="694" spans="1:26" ht="14.25" customHeight="1">
      <c r="A694" s="118"/>
      <c r="B694" s="118"/>
      <c r="C694" s="118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18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  <c r="Y694" s="118"/>
      <c r="Z694" s="118"/>
    </row>
    <row r="695" spans="1:26" ht="14.25" customHeight="1">
      <c r="A695" s="118"/>
      <c r="B695" s="118"/>
      <c r="C695" s="118"/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N695" s="118"/>
      <c r="O695" s="118"/>
      <c r="P695" s="118"/>
      <c r="Q695" s="118"/>
      <c r="R695" s="118"/>
      <c r="S695" s="118"/>
      <c r="T695" s="118"/>
      <c r="U695" s="118"/>
      <c r="V695" s="118"/>
      <c r="W695" s="118"/>
      <c r="X695" s="118"/>
      <c r="Y695" s="118"/>
      <c r="Z695" s="118"/>
    </row>
    <row r="696" spans="1:26" ht="14.25" customHeight="1">
      <c r="A696" s="118"/>
      <c r="B696" s="118"/>
      <c r="C696" s="118"/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N696" s="118"/>
      <c r="O696" s="118"/>
      <c r="P696" s="118"/>
      <c r="Q696" s="118"/>
      <c r="R696" s="118"/>
      <c r="S696" s="118"/>
      <c r="T696" s="118"/>
      <c r="U696" s="118"/>
      <c r="V696" s="118"/>
      <c r="W696" s="118"/>
      <c r="X696" s="118"/>
      <c r="Y696" s="118"/>
      <c r="Z696" s="118"/>
    </row>
    <row r="697" spans="1:26" ht="14.25" customHeight="1">
      <c r="A697" s="118"/>
      <c r="B697" s="118"/>
      <c r="C697" s="118"/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N697" s="118"/>
      <c r="O697" s="118"/>
      <c r="P697" s="118"/>
      <c r="Q697" s="118"/>
      <c r="R697" s="118"/>
      <c r="S697" s="118"/>
      <c r="T697" s="118"/>
      <c r="U697" s="118"/>
      <c r="V697" s="118"/>
      <c r="W697" s="118"/>
      <c r="X697" s="118"/>
      <c r="Y697" s="118"/>
      <c r="Z697" s="118"/>
    </row>
    <row r="698" spans="1:26" ht="14.25" customHeight="1">
      <c r="A698" s="118"/>
      <c r="B698" s="118"/>
      <c r="C698" s="118"/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N698" s="118"/>
      <c r="O698" s="118"/>
      <c r="P698" s="118"/>
      <c r="Q698" s="118"/>
      <c r="R698" s="118"/>
      <c r="S698" s="118"/>
      <c r="T698" s="118"/>
      <c r="U698" s="118"/>
      <c r="V698" s="118"/>
      <c r="W698" s="118"/>
      <c r="X698" s="118"/>
      <c r="Y698" s="118"/>
      <c r="Z698" s="118"/>
    </row>
    <row r="699" spans="1:26" ht="14.25" customHeight="1">
      <c r="A699" s="118"/>
      <c r="B699" s="118"/>
      <c r="C699" s="118"/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N699" s="118"/>
      <c r="O699" s="118"/>
      <c r="P699" s="118"/>
      <c r="Q699" s="118"/>
      <c r="R699" s="118"/>
      <c r="S699" s="118"/>
      <c r="T699" s="118"/>
      <c r="U699" s="118"/>
      <c r="V699" s="118"/>
      <c r="W699" s="118"/>
      <c r="X699" s="118"/>
      <c r="Y699" s="118"/>
      <c r="Z699" s="118"/>
    </row>
    <row r="700" spans="1:26" ht="14.25" customHeight="1">
      <c r="A700" s="118"/>
      <c r="B700" s="118"/>
      <c r="C700" s="118"/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N700" s="118"/>
      <c r="O700" s="118"/>
      <c r="P700" s="118"/>
      <c r="Q700" s="118"/>
      <c r="R700" s="118"/>
      <c r="S700" s="118"/>
      <c r="T700" s="118"/>
      <c r="U700" s="118"/>
      <c r="V700" s="118"/>
      <c r="W700" s="118"/>
      <c r="X700" s="118"/>
      <c r="Y700" s="118"/>
      <c r="Z700" s="118"/>
    </row>
    <row r="701" spans="1:26" ht="14.25" customHeight="1">
      <c r="A701" s="118"/>
      <c r="B701" s="118"/>
      <c r="C701" s="118"/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N701" s="118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/>
      <c r="Y701" s="118"/>
      <c r="Z701" s="118"/>
    </row>
    <row r="702" spans="1:26" ht="14.25" customHeight="1">
      <c r="A702" s="118"/>
      <c r="B702" s="118"/>
      <c r="C702" s="118"/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N702" s="118"/>
      <c r="O702" s="118"/>
      <c r="P702" s="118"/>
      <c r="Q702" s="118"/>
      <c r="R702" s="118"/>
      <c r="S702" s="118"/>
      <c r="T702" s="118"/>
      <c r="U702" s="118"/>
      <c r="V702" s="118"/>
      <c r="W702" s="118"/>
      <c r="X702" s="118"/>
      <c r="Y702" s="118"/>
      <c r="Z702" s="118"/>
    </row>
    <row r="703" spans="1:26" ht="14.25" customHeight="1">
      <c r="A703" s="118"/>
      <c r="B703" s="118"/>
      <c r="C703" s="118"/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N703" s="118"/>
      <c r="O703" s="118"/>
      <c r="P703" s="118"/>
      <c r="Q703" s="118"/>
      <c r="R703" s="118"/>
      <c r="S703" s="118"/>
      <c r="T703" s="118"/>
      <c r="U703" s="118"/>
      <c r="V703" s="118"/>
      <c r="W703" s="118"/>
      <c r="X703" s="118"/>
      <c r="Y703" s="118"/>
      <c r="Z703" s="118"/>
    </row>
    <row r="704" spans="1:26" ht="14.25" customHeight="1">
      <c r="A704" s="118"/>
      <c r="B704" s="118"/>
      <c r="C704" s="118"/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N704" s="118"/>
      <c r="O704" s="118"/>
      <c r="P704" s="118"/>
      <c r="Q704" s="118"/>
      <c r="R704" s="118"/>
      <c r="S704" s="118"/>
      <c r="T704" s="118"/>
      <c r="U704" s="118"/>
      <c r="V704" s="118"/>
      <c r="W704" s="118"/>
      <c r="X704" s="118"/>
      <c r="Y704" s="118"/>
      <c r="Z704" s="118"/>
    </row>
    <row r="705" spans="1:26" ht="14.25" customHeight="1">
      <c r="A705" s="118"/>
      <c r="B705" s="118"/>
      <c r="C705" s="118"/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N705" s="118"/>
      <c r="O705" s="118"/>
      <c r="P705" s="118"/>
      <c r="Q705" s="118"/>
      <c r="R705" s="118"/>
      <c r="S705" s="118"/>
      <c r="T705" s="118"/>
      <c r="U705" s="118"/>
      <c r="V705" s="118"/>
      <c r="W705" s="118"/>
      <c r="X705" s="118"/>
      <c r="Y705" s="118"/>
      <c r="Z705" s="118"/>
    </row>
    <row r="706" spans="1:26" ht="14.25" customHeight="1">
      <c r="A706" s="118"/>
      <c r="B706" s="118"/>
      <c r="C706" s="118"/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18"/>
      <c r="O706" s="118"/>
      <c r="P706" s="118"/>
      <c r="Q706" s="118"/>
      <c r="R706" s="118"/>
      <c r="S706" s="118"/>
      <c r="T706" s="118"/>
      <c r="U706" s="118"/>
      <c r="V706" s="118"/>
      <c r="W706" s="118"/>
      <c r="X706" s="118"/>
      <c r="Y706" s="118"/>
      <c r="Z706" s="118"/>
    </row>
    <row r="707" spans="1:26" ht="14.25" customHeight="1">
      <c r="A707" s="118"/>
      <c r="B707" s="118"/>
      <c r="C707" s="118"/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N707" s="118"/>
      <c r="O707" s="118"/>
      <c r="P707" s="118"/>
      <c r="Q707" s="118"/>
      <c r="R707" s="118"/>
      <c r="S707" s="118"/>
      <c r="T707" s="118"/>
      <c r="U707" s="118"/>
      <c r="V707" s="118"/>
      <c r="W707" s="118"/>
      <c r="X707" s="118"/>
      <c r="Y707" s="118"/>
      <c r="Z707" s="118"/>
    </row>
    <row r="708" spans="1:26" ht="14.25" customHeight="1">
      <c r="A708" s="118"/>
      <c r="B708" s="118"/>
      <c r="C708" s="118"/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N708" s="118"/>
      <c r="O708" s="118"/>
      <c r="P708" s="118"/>
      <c r="Q708" s="118"/>
      <c r="R708" s="118"/>
      <c r="S708" s="118"/>
      <c r="T708" s="118"/>
      <c r="U708" s="118"/>
      <c r="V708" s="118"/>
      <c r="W708" s="118"/>
      <c r="X708" s="118"/>
      <c r="Y708" s="118"/>
      <c r="Z708" s="118"/>
    </row>
    <row r="709" spans="1:26" ht="14.25" customHeight="1">
      <c r="A709" s="118"/>
      <c r="B709" s="118"/>
      <c r="C709" s="118"/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N709" s="118"/>
      <c r="O709" s="118"/>
      <c r="P709" s="118"/>
      <c r="Q709" s="118"/>
      <c r="R709" s="118"/>
      <c r="S709" s="118"/>
      <c r="T709" s="118"/>
      <c r="U709" s="118"/>
      <c r="V709" s="118"/>
      <c r="W709" s="118"/>
      <c r="X709" s="118"/>
      <c r="Y709" s="118"/>
      <c r="Z709" s="118"/>
    </row>
    <row r="710" spans="1:26" ht="14.25" customHeight="1">
      <c r="A710" s="118"/>
      <c r="B710" s="118"/>
      <c r="C710" s="118"/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N710" s="118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  <c r="Y710" s="118"/>
      <c r="Z710" s="118"/>
    </row>
    <row r="711" spans="1:26" ht="14.25" customHeight="1">
      <c r="A711" s="118"/>
      <c r="B711" s="118"/>
      <c r="C711" s="118"/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N711" s="118"/>
      <c r="O711" s="118"/>
      <c r="P711" s="118"/>
      <c r="Q711" s="118"/>
      <c r="R711" s="118"/>
      <c r="S711" s="118"/>
      <c r="T711" s="118"/>
      <c r="U711" s="118"/>
      <c r="V711" s="118"/>
      <c r="W711" s="118"/>
      <c r="X711" s="118"/>
      <c r="Y711" s="118"/>
      <c r="Z711" s="118"/>
    </row>
    <row r="712" spans="1:26" ht="14.25" customHeight="1">
      <c r="A712" s="118"/>
      <c r="B712" s="118"/>
      <c r="C712" s="118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18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  <c r="Y712" s="118"/>
      <c r="Z712" s="118"/>
    </row>
    <row r="713" spans="1:26" ht="14.25" customHeight="1">
      <c r="A713" s="118"/>
      <c r="B713" s="118"/>
      <c r="C713" s="118"/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N713" s="118"/>
      <c r="O713" s="118"/>
      <c r="P713" s="118"/>
      <c r="Q713" s="118"/>
      <c r="R713" s="118"/>
      <c r="S713" s="118"/>
      <c r="T713" s="118"/>
      <c r="U713" s="118"/>
      <c r="V713" s="118"/>
      <c r="W713" s="118"/>
      <c r="X713" s="118"/>
      <c r="Y713" s="118"/>
      <c r="Z713" s="118"/>
    </row>
    <row r="714" spans="1:26" ht="14.25" customHeight="1">
      <c r="A714" s="118"/>
      <c r="B714" s="118"/>
      <c r="C714" s="118"/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N714" s="118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  <c r="Y714" s="118"/>
      <c r="Z714" s="118"/>
    </row>
    <row r="715" spans="1:26" ht="14.25" customHeight="1">
      <c r="A715" s="118"/>
      <c r="B715" s="118"/>
      <c r="C715" s="118"/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N715" s="118"/>
      <c r="O715" s="118"/>
      <c r="P715" s="118"/>
      <c r="Q715" s="118"/>
      <c r="R715" s="118"/>
      <c r="S715" s="118"/>
      <c r="T715" s="118"/>
      <c r="U715" s="118"/>
      <c r="V715" s="118"/>
      <c r="W715" s="118"/>
      <c r="X715" s="118"/>
      <c r="Y715" s="118"/>
      <c r="Z715" s="118"/>
    </row>
    <row r="716" spans="1:26" ht="14.25" customHeight="1">
      <c r="A716" s="118"/>
      <c r="B716" s="118"/>
      <c r="C716" s="118"/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N716" s="118"/>
      <c r="O716" s="118"/>
      <c r="P716" s="118"/>
      <c r="Q716" s="118"/>
      <c r="R716" s="118"/>
      <c r="S716" s="118"/>
      <c r="T716" s="118"/>
      <c r="U716" s="118"/>
      <c r="V716" s="118"/>
      <c r="W716" s="118"/>
      <c r="X716" s="118"/>
      <c r="Y716" s="118"/>
      <c r="Z716" s="118"/>
    </row>
    <row r="717" spans="1:26" ht="14.25" customHeight="1">
      <c r="A717" s="118"/>
      <c r="B717" s="118"/>
      <c r="C717" s="118"/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N717" s="118"/>
      <c r="O717" s="118"/>
      <c r="P717" s="118"/>
      <c r="Q717" s="118"/>
      <c r="R717" s="118"/>
      <c r="S717" s="118"/>
      <c r="T717" s="118"/>
      <c r="U717" s="118"/>
      <c r="V717" s="118"/>
      <c r="W717" s="118"/>
      <c r="X717" s="118"/>
      <c r="Y717" s="118"/>
      <c r="Z717" s="118"/>
    </row>
    <row r="718" spans="1:26" ht="14.25" customHeight="1">
      <c r="A718" s="118"/>
      <c r="B718" s="118"/>
      <c r="C718" s="118"/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N718" s="118"/>
      <c r="O718" s="118"/>
      <c r="P718" s="118"/>
      <c r="Q718" s="118"/>
      <c r="R718" s="118"/>
      <c r="S718" s="118"/>
      <c r="T718" s="118"/>
      <c r="U718" s="118"/>
      <c r="V718" s="118"/>
      <c r="W718" s="118"/>
      <c r="X718" s="118"/>
      <c r="Y718" s="118"/>
      <c r="Z718" s="118"/>
    </row>
    <row r="719" spans="1:26" ht="14.25" customHeight="1">
      <c r="A719" s="118"/>
      <c r="B719" s="118"/>
      <c r="C719" s="118"/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N719" s="118"/>
      <c r="O719" s="118"/>
      <c r="P719" s="118"/>
      <c r="Q719" s="118"/>
      <c r="R719" s="118"/>
      <c r="S719" s="118"/>
      <c r="T719" s="118"/>
      <c r="U719" s="118"/>
      <c r="V719" s="118"/>
      <c r="W719" s="118"/>
      <c r="X719" s="118"/>
      <c r="Y719" s="118"/>
      <c r="Z719" s="118"/>
    </row>
    <row r="720" spans="1:26" ht="14.25" customHeight="1">
      <c r="A720" s="118"/>
      <c r="B720" s="118"/>
      <c r="C720" s="118"/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N720" s="118"/>
      <c r="O720" s="118"/>
      <c r="P720" s="118"/>
      <c r="Q720" s="118"/>
      <c r="R720" s="118"/>
      <c r="S720" s="118"/>
      <c r="T720" s="118"/>
      <c r="U720" s="118"/>
      <c r="V720" s="118"/>
      <c r="W720" s="118"/>
      <c r="X720" s="118"/>
      <c r="Y720" s="118"/>
      <c r="Z720" s="118"/>
    </row>
    <row r="721" spans="1:26" ht="14.25" customHeight="1">
      <c r="A721" s="118"/>
      <c r="B721" s="118"/>
      <c r="C721" s="118"/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N721" s="118"/>
      <c r="O721" s="118"/>
      <c r="P721" s="118"/>
      <c r="Q721" s="118"/>
      <c r="R721" s="118"/>
      <c r="S721" s="118"/>
      <c r="T721" s="118"/>
      <c r="U721" s="118"/>
      <c r="V721" s="118"/>
      <c r="W721" s="118"/>
      <c r="X721" s="118"/>
      <c r="Y721" s="118"/>
      <c r="Z721" s="118"/>
    </row>
    <row r="722" spans="1:26" ht="14.25" customHeight="1">
      <c r="A722" s="118"/>
      <c r="B722" s="118"/>
      <c r="C722" s="118"/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N722" s="118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  <c r="Y722" s="118"/>
      <c r="Z722" s="118"/>
    </row>
    <row r="723" spans="1:26" ht="14.25" customHeight="1">
      <c r="A723" s="118"/>
      <c r="B723" s="118"/>
      <c r="C723" s="118"/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N723" s="118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  <c r="Y723" s="118"/>
      <c r="Z723" s="118"/>
    </row>
    <row r="724" spans="1:26" ht="14.25" customHeight="1">
      <c r="A724" s="118"/>
      <c r="B724" s="118"/>
      <c r="C724" s="118"/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N724" s="118"/>
      <c r="O724" s="118"/>
      <c r="P724" s="118"/>
      <c r="Q724" s="118"/>
      <c r="R724" s="118"/>
      <c r="S724" s="118"/>
      <c r="T724" s="118"/>
      <c r="U724" s="118"/>
      <c r="V724" s="118"/>
      <c r="W724" s="118"/>
      <c r="X724" s="118"/>
      <c r="Y724" s="118"/>
      <c r="Z724" s="118"/>
    </row>
    <row r="725" spans="1:26" ht="14.25" customHeight="1">
      <c r="A725" s="118"/>
      <c r="B725" s="118"/>
      <c r="C725" s="118"/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N725" s="118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  <c r="Y725" s="118"/>
      <c r="Z725" s="118"/>
    </row>
    <row r="726" spans="1:26" ht="14.25" customHeight="1">
      <c r="A726" s="118"/>
      <c r="B726" s="118"/>
      <c r="C726" s="118"/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N726" s="118"/>
      <c r="O726" s="118"/>
      <c r="P726" s="118"/>
      <c r="Q726" s="118"/>
      <c r="R726" s="118"/>
      <c r="S726" s="118"/>
      <c r="T726" s="118"/>
      <c r="U726" s="118"/>
      <c r="V726" s="118"/>
      <c r="W726" s="118"/>
      <c r="X726" s="118"/>
      <c r="Y726" s="118"/>
      <c r="Z726" s="118"/>
    </row>
    <row r="727" spans="1:26" ht="14.25" customHeight="1">
      <c r="A727" s="118"/>
      <c r="B727" s="118"/>
      <c r="C727" s="118"/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N727" s="118"/>
      <c r="O727" s="118"/>
      <c r="P727" s="118"/>
      <c r="Q727" s="118"/>
      <c r="R727" s="118"/>
      <c r="S727" s="118"/>
      <c r="T727" s="118"/>
      <c r="U727" s="118"/>
      <c r="V727" s="118"/>
      <c r="W727" s="118"/>
      <c r="X727" s="118"/>
      <c r="Y727" s="118"/>
      <c r="Z727" s="118"/>
    </row>
    <row r="728" spans="1:26" ht="14.25" customHeight="1">
      <c r="A728" s="118"/>
      <c r="B728" s="118"/>
      <c r="C728" s="118"/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N728" s="118"/>
      <c r="O728" s="118"/>
      <c r="P728" s="118"/>
      <c r="Q728" s="118"/>
      <c r="R728" s="118"/>
      <c r="S728" s="118"/>
      <c r="T728" s="118"/>
      <c r="U728" s="118"/>
      <c r="V728" s="118"/>
      <c r="W728" s="118"/>
      <c r="X728" s="118"/>
      <c r="Y728" s="118"/>
      <c r="Z728" s="118"/>
    </row>
    <row r="729" spans="1:26" ht="14.25" customHeight="1">
      <c r="A729" s="118"/>
      <c r="B729" s="118"/>
      <c r="C729" s="118"/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18"/>
      <c r="O729" s="118"/>
      <c r="P729" s="118"/>
      <c r="Q729" s="118"/>
      <c r="R729" s="118"/>
      <c r="S729" s="118"/>
      <c r="T729" s="118"/>
      <c r="U729" s="118"/>
      <c r="V729" s="118"/>
      <c r="W729" s="118"/>
      <c r="X729" s="118"/>
      <c r="Y729" s="118"/>
      <c r="Z729" s="118"/>
    </row>
    <row r="730" spans="1:26" ht="14.25" customHeight="1">
      <c r="A730" s="118"/>
      <c r="B730" s="118"/>
      <c r="C730" s="118"/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N730" s="118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  <c r="Y730" s="118"/>
      <c r="Z730" s="118"/>
    </row>
    <row r="731" spans="1:26" ht="14.25" customHeight="1">
      <c r="A731" s="118"/>
      <c r="B731" s="118"/>
      <c r="C731" s="118"/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N731" s="118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  <c r="Y731" s="118"/>
      <c r="Z731" s="118"/>
    </row>
    <row r="732" spans="1:26" ht="14.25" customHeight="1">
      <c r="A732" s="118"/>
      <c r="B732" s="118"/>
      <c r="C732" s="118"/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18"/>
      <c r="O732" s="118"/>
      <c r="P732" s="118"/>
      <c r="Q732" s="118"/>
      <c r="R732" s="118"/>
      <c r="S732" s="118"/>
      <c r="T732" s="118"/>
      <c r="U732" s="118"/>
      <c r="V732" s="118"/>
      <c r="W732" s="118"/>
      <c r="X732" s="118"/>
      <c r="Y732" s="118"/>
      <c r="Z732" s="118"/>
    </row>
    <row r="733" spans="1:26" ht="14.25" customHeight="1">
      <c r="A733" s="118"/>
      <c r="B733" s="118"/>
      <c r="C733" s="118"/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N733" s="118"/>
      <c r="O733" s="118"/>
      <c r="P733" s="118"/>
      <c r="Q733" s="118"/>
      <c r="R733" s="118"/>
      <c r="S733" s="118"/>
      <c r="T733" s="118"/>
      <c r="U733" s="118"/>
      <c r="V733" s="118"/>
      <c r="W733" s="118"/>
      <c r="X733" s="118"/>
      <c r="Y733" s="118"/>
      <c r="Z733" s="118"/>
    </row>
    <row r="734" spans="1:26" ht="14.25" customHeight="1">
      <c r="A734" s="118"/>
      <c r="B734" s="118"/>
      <c r="C734" s="118"/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N734" s="118"/>
      <c r="O734" s="118"/>
      <c r="P734" s="118"/>
      <c r="Q734" s="118"/>
      <c r="R734" s="118"/>
      <c r="S734" s="118"/>
      <c r="T734" s="118"/>
      <c r="U734" s="118"/>
      <c r="V734" s="118"/>
      <c r="W734" s="118"/>
      <c r="X734" s="118"/>
      <c r="Y734" s="118"/>
      <c r="Z734" s="118"/>
    </row>
    <row r="735" spans="1:26" ht="14.25" customHeight="1">
      <c r="A735" s="118"/>
      <c r="B735" s="118"/>
      <c r="C735" s="118"/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N735" s="118"/>
      <c r="O735" s="118"/>
      <c r="P735" s="118"/>
      <c r="Q735" s="118"/>
      <c r="R735" s="118"/>
      <c r="S735" s="118"/>
      <c r="T735" s="118"/>
      <c r="U735" s="118"/>
      <c r="V735" s="118"/>
      <c r="W735" s="118"/>
      <c r="X735" s="118"/>
      <c r="Y735" s="118"/>
      <c r="Z735" s="118"/>
    </row>
    <row r="736" spans="1:26" ht="14.25" customHeight="1">
      <c r="A736" s="118"/>
      <c r="B736" s="118"/>
      <c r="C736" s="118"/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N736" s="118"/>
      <c r="O736" s="118"/>
      <c r="P736" s="118"/>
      <c r="Q736" s="118"/>
      <c r="R736" s="118"/>
      <c r="S736" s="118"/>
      <c r="T736" s="118"/>
      <c r="U736" s="118"/>
      <c r="V736" s="118"/>
      <c r="W736" s="118"/>
      <c r="X736" s="118"/>
      <c r="Y736" s="118"/>
      <c r="Z736" s="118"/>
    </row>
    <row r="737" spans="1:26" ht="14.25" customHeight="1">
      <c r="A737" s="118"/>
      <c r="B737" s="118"/>
      <c r="C737" s="118"/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N737" s="118"/>
      <c r="O737" s="118"/>
      <c r="P737" s="118"/>
      <c r="Q737" s="118"/>
      <c r="R737" s="118"/>
      <c r="S737" s="118"/>
      <c r="T737" s="118"/>
      <c r="U737" s="118"/>
      <c r="V737" s="118"/>
      <c r="W737" s="118"/>
      <c r="X737" s="118"/>
      <c r="Y737" s="118"/>
      <c r="Z737" s="118"/>
    </row>
    <row r="738" spans="1:26" ht="14.25" customHeight="1">
      <c r="A738" s="118"/>
      <c r="B738" s="118"/>
      <c r="C738" s="118"/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N738" s="118"/>
      <c r="O738" s="118"/>
      <c r="P738" s="118"/>
      <c r="Q738" s="118"/>
      <c r="R738" s="118"/>
      <c r="S738" s="118"/>
      <c r="T738" s="118"/>
      <c r="U738" s="118"/>
      <c r="V738" s="118"/>
      <c r="W738" s="118"/>
      <c r="X738" s="118"/>
      <c r="Y738" s="118"/>
      <c r="Z738" s="118"/>
    </row>
    <row r="739" spans="1:26" ht="14.25" customHeight="1">
      <c r="A739" s="118"/>
      <c r="B739" s="118"/>
      <c r="C739" s="118"/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N739" s="118"/>
      <c r="O739" s="118"/>
      <c r="P739" s="118"/>
      <c r="Q739" s="118"/>
      <c r="R739" s="118"/>
      <c r="S739" s="118"/>
      <c r="T739" s="118"/>
      <c r="U739" s="118"/>
      <c r="V739" s="118"/>
      <c r="W739" s="118"/>
      <c r="X739" s="118"/>
      <c r="Y739" s="118"/>
      <c r="Z739" s="118"/>
    </row>
    <row r="740" spans="1:26" ht="14.25" customHeight="1">
      <c r="A740" s="118"/>
      <c r="B740" s="118"/>
      <c r="C740" s="118"/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N740" s="118"/>
      <c r="O740" s="118"/>
      <c r="P740" s="118"/>
      <c r="Q740" s="118"/>
      <c r="R740" s="118"/>
      <c r="S740" s="118"/>
      <c r="T740" s="118"/>
      <c r="U740" s="118"/>
      <c r="V740" s="118"/>
      <c r="W740" s="118"/>
      <c r="X740" s="118"/>
      <c r="Y740" s="118"/>
      <c r="Z740" s="118"/>
    </row>
    <row r="741" spans="1:26" ht="14.25" customHeight="1">
      <c r="A741" s="118"/>
      <c r="B741" s="118"/>
      <c r="C741" s="118"/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N741" s="118"/>
      <c r="O741" s="118"/>
      <c r="P741" s="118"/>
      <c r="Q741" s="118"/>
      <c r="R741" s="118"/>
      <c r="S741" s="118"/>
      <c r="T741" s="118"/>
      <c r="U741" s="118"/>
      <c r="V741" s="118"/>
      <c r="W741" s="118"/>
      <c r="X741" s="118"/>
      <c r="Y741" s="118"/>
      <c r="Z741" s="118"/>
    </row>
    <row r="742" spans="1:26" ht="14.25" customHeight="1">
      <c r="A742" s="118"/>
      <c r="B742" s="118"/>
      <c r="C742" s="118"/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N742" s="118"/>
      <c r="O742" s="118"/>
      <c r="P742" s="118"/>
      <c r="Q742" s="118"/>
      <c r="R742" s="118"/>
      <c r="S742" s="118"/>
      <c r="T742" s="118"/>
      <c r="U742" s="118"/>
      <c r="V742" s="118"/>
      <c r="W742" s="118"/>
      <c r="X742" s="118"/>
      <c r="Y742" s="118"/>
      <c r="Z742" s="118"/>
    </row>
    <row r="743" spans="1:26" ht="14.25" customHeight="1">
      <c r="A743" s="118"/>
      <c r="B743" s="118"/>
      <c r="C743" s="118"/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N743" s="118"/>
      <c r="O743" s="118"/>
      <c r="P743" s="118"/>
      <c r="Q743" s="118"/>
      <c r="R743" s="118"/>
      <c r="S743" s="118"/>
      <c r="T743" s="118"/>
      <c r="U743" s="118"/>
      <c r="V743" s="118"/>
      <c r="W743" s="118"/>
      <c r="X743" s="118"/>
      <c r="Y743" s="118"/>
      <c r="Z743" s="118"/>
    </row>
    <row r="744" spans="1:26" ht="14.25" customHeight="1">
      <c r="A744" s="118"/>
      <c r="B744" s="118"/>
      <c r="C744" s="118"/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N744" s="118"/>
      <c r="O744" s="118"/>
      <c r="P744" s="118"/>
      <c r="Q744" s="118"/>
      <c r="R744" s="118"/>
      <c r="S744" s="118"/>
      <c r="T744" s="118"/>
      <c r="U744" s="118"/>
      <c r="V744" s="118"/>
      <c r="W744" s="118"/>
      <c r="X744" s="118"/>
      <c r="Y744" s="118"/>
      <c r="Z744" s="118"/>
    </row>
    <row r="745" spans="1:26" ht="14.25" customHeight="1">
      <c r="A745" s="118"/>
      <c r="B745" s="118"/>
      <c r="C745" s="118"/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N745" s="118"/>
      <c r="O745" s="118"/>
      <c r="P745" s="118"/>
      <c r="Q745" s="118"/>
      <c r="R745" s="118"/>
      <c r="S745" s="118"/>
      <c r="T745" s="118"/>
      <c r="U745" s="118"/>
      <c r="V745" s="118"/>
      <c r="W745" s="118"/>
      <c r="X745" s="118"/>
      <c r="Y745" s="118"/>
      <c r="Z745" s="118"/>
    </row>
    <row r="746" spans="1:26" ht="14.25" customHeight="1">
      <c r="A746" s="118"/>
      <c r="B746" s="118"/>
      <c r="C746" s="118"/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N746" s="118"/>
      <c r="O746" s="118"/>
      <c r="P746" s="118"/>
      <c r="Q746" s="118"/>
      <c r="R746" s="118"/>
      <c r="S746" s="118"/>
      <c r="T746" s="118"/>
      <c r="U746" s="118"/>
      <c r="V746" s="118"/>
      <c r="W746" s="118"/>
      <c r="X746" s="118"/>
      <c r="Y746" s="118"/>
      <c r="Z746" s="118"/>
    </row>
    <row r="747" spans="1:26" ht="14.25" customHeight="1">
      <c r="A747" s="118"/>
      <c r="B747" s="118"/>
      <c r="C747" s="118"/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N747" s="118"/>
      <c r="O747" s="118"/>
      <c r="P747" s="118"/>
      <c r="Q747" s="118"/>
      <c r="R747" s="118"/>
      <c r="S747" s="118"/>
      <c r="T747" s="118"/>
      <c r="U747" s="118"/>
      <c r="V747" s="118"/>
      <c r="W747" s="118"/>
      <c r="X747" s="118"/>
      <c r="Y747" s="118"/>
      <c r="Z747" s="118"/>
    </row>
    <row r="748" spans="1:26" ht="14.25" customHeight="1">
      <c r="A748" s="118"/>
      <c r="B748" s="118"/>
      <c r="C748" s="118"/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N748" s="118"/>
      <c r="O748" s="118"/>
      <c r="P748" s="118"/>
      <c r="Q748" s="118"/>
      <c r="R748" s="118"/>
      <c r="S748" s="118"/>
      <c r="T748" s="118"/>
      <c r="U748" s="118"/>
      <c r="V748" s="118"/>
      <c r="W748" s="118"/>
      <c r="X748" s="118"/>
      <c r="Y748" s="118"/>
      <c r="Z748" s="118"/>
    </row>
    <row r="749" spans="1:26" ht="14.25" customHeight="1">
      <c r="A749" s="118"/>
      <c r="B749" s="118"/>
      <c r="C749" s="118"/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N749" s="118"/>
      <c r="O749" s="118"/>
      <c r="P749" s="118"/>
      <c r="Q749" s="118"/>
      <c r="R749" s="118"/>
      <c r="S749" s="118"/>
      <c r="T749" s="118"/>
      <c r="U749" s="118"/>
      <c r="V749" s="118"/>
      <c r="W749" s="118"/>
      <c r="X749" s="118"/>
      <c r="Y749" s="118"/>
      <c r="Z749" s="118"/>
    </row>
    <row r="750" spans="1:26" ht="14.25" customHeight="1">
      <c r="A750" s="118"/>
      <c r="B750" s="118"/>
      <c r="C750" s="118"/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N750" s="118"/>
      <c r="O750" s="118"/>
      <c r="P750" s="118"/>
      <c r="Q750" s="118"/>
      <c r="R750" s="118"/>
      <c r="S750" s="118"/>
      <c r="T750" s="118"/>
      <c r="U750" s="118"/>
      <c r="V750" s="118"/>
      <c r="W750" s="118"/>
      <c r="X750" s="118"/>
      <c r="Y750" s="118"/>
      <c r="Z750" s="118"/>
    </row>
    <row r="751" spans="1:26" ht="14.25" customHeight="1">
      <c r="A751" s="118"/>
      <c r="B751" s="118"/>
      <c r="C751" s="118"/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N751" s="118"/>
      <c r="O751" s="118"/>
      <c r="P751" s="118"/>
      <c r="Q751" s="118"/>
      <c r="R751" s="118"/>
      <c r="S751" s="118"/>
      <c r="T751" s="118"/>
      <c r="U751" s="118"/>
      <c r="V751" s="118"/>
      <c r="W751" s="118"/>
      <c r="X751" s="118"/>
      <c r="Y751" s="118"/>
      <c r="Z751" s="118"/>
    </row>
    <row r="752" spans="1:26" ht="14.25" customHeight="1">
      <c r="A752" s="118"/>
      <c r="B752" s="118"/>
      <c r="C752" s="118"/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18"/>
      <c r="O752" s="118"/>
      <c r="P752" s="118"/>
      <c r="Q752" s="118"/>
      <c r="R752" s="118"/>
      <c r="S752" s="118"/>
      <c r="T752" s="118"/>
      <c r="U752" s="118"/>
      <c r="V752" s="118"/>
      <c r="W752" s="118"/>
      <c r="X752" s="118"/>
      <c r="Y752" s="118"/>
      <c r="Z752" s="118"/>
    </row>
    <row r="753" spans="1:26" ht="14.25" customHeight="1">
      <c r="A753" s="118"/>
      <c r="B753" s="118"/>
      <c r="C753" s="118"/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N753" s="118"/>
      <c r="O753" s="118"/>
      <c r="P753" s="118"/>
      <c r="Q753" s="118"/>
      <c r="R753" s="118"/>
      <c r="S753" s="118"/>
      <c r="T753" s="118"/>
      <c r="U753" s="118"/>
      <c r="V753" s="118"/>
      <c r="W753" s="118"/>
      <c r="X753" s="118"/>
      <c r="Y753" s="118"/>
      <c r="Z753" s="118"/>
    </row>
    <row r="754" spans="1:26" ht="14.25" customHeight="1">
      <c r="A754" s="118"/>
      <c r="B754" s="118"/>
      <c r="C754" s="118"/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N754" s="118"/>
      <c r="O754" s="118"/>
      <c r="P754" s="118"/>
      <c r="Q754" s="118"/>
      <c r="R754" s="118"/>
      <c r="S754" s="118"/>
      <c r="T754" s="118"/>
      <c r="U754" s="118"/>
      <c r="V754" s="118"/>
      <c r="W754" s="118"/>
      <c r="X754" s="118"/>
      <c r="Y754" s="118"/>
      <c r="Z754" s="118"/>
    </row>
    <row r="755" spans="1:26" ht="14.25" customHeight="1">
      <c r="A755" s="118"/>
      <c r="B755" s="118"/>
      <c r="C755" s="118"/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N755" s="118"/>
      <c r="O755" s="118"/>
      <c r="P755" s="118"/>
      <c r="Q755" s="118"/>
      <c r="R755" s="118"/>
      <c r="S755" s="118"/>
      <c r="T755" s="118"/>
      <c r="U755" s="118"/>
      <c r="V755" s="118"/>
      <c r="W755" s="118"/>
      <c r="X755" s="118"/>
      <c r="Y755" s="118"/>
      <c r="Z755" s="118"/>
    </row>
    <row r="756" spans="1:26" ht="14.25" customHeight="1">
      <c r="A756" s="118"/>
      <c r="B756" s="118"/>
      <c r="C756" s="118"/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N756" s="118"/>
      <c r="O756" s="118"/>
      <c r="P756" s="118"/>
      <c r="Q756" s="118"/>
      <c r="R756" s="118"/>
      <c r="S756" s="118"/>
      <c r="T756" s="118"/>
      <c r="U756" s="118"/>
      <c r="V756" s="118"/>
      <c r="W756" s="118"/>
      <c r="X756" s="118"/>
      <c r="Y756" s="118"/>
      <c r="Z756" s="118"/>
    </row>
    <row r="757" spans="1:26" ht="14.25" customHeight="1">
      <c r="A757" s="118"/>
      <c r="B757" s="118"/>
      <c r="C757" s="118"/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N757" s="118"/>
      <c r="O757" s="118"/>
      <c r="P757" s="118"/>
      <c r="Q757" s="118"/>
      <c r="R757" s="118"/>
      <c r="S757" s="118"/>
      <c r="T757" s="118"/>
      <c r="U757" s="118"/>
      <c r="V757" s="118"/>
      <c r="W757" s="118"/>
      <c r="X757" s="118"/>
      <c r="Y757" s="118"/>
      <c r="Z757" s="118"/>
    </row>
    <row r="758" spans="1:26" ht="14.25" customHeight="1">
      <c r="A758" s="118"/>
      <c r="B758" s="118"/>
      <c r="C758" s="118"/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N758" s="118"/>
      <c r="O758" s="118"/>
      <c r="P758" s="118"/>
      <c r="Q758" s="118"/>
      <c r="R758" s="118"/>
      <c r="S758" s="118"/>
      <c r="T758" s="118"/>
      <c r="U758" s="118"/>
      <c r="V758" s="118"/>
      <c r="W758" s="118"/>
      <c r="X758" s="118"/>
      <c r="Y758" s="118"/>
      <c r="Z758" s="118"/>
    </row>
    <row r="759" spans="1:26" ht="14.25" customHeight="1">
      <c r="A759" s="118"/>
      <c r="B759" s="118"/>
      <c r="C759" s="118"/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N759" s="118"/>
      <c r="O759" s="118"/>
      <c r="P759" s="118"/>
      <c r="Q759" s="118"/>
      <c r="R759" s="118"/>
      <c r="S759" s="118"/>
      <c r="T759" s="118"/>
      <c r="U759" s="118"/>
      <c r="V759" s="118"/>
      <c r="W759" s="118"/>
      <c r="X759" s="118"/>
      <c r="Y759" s="118"/>
      <c r="Z759" s="118"/>
    </row>
    <row r="760" spans="1:26" ht="14.25" customHeight="1">
      <c r="A760" s="118"/>
      <c r="B760" s="118"/>
      <c r="C760" s="118"/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N760" s="118"/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  <c r="Y760" s="118"/>
      <c r="Z760" s="118"/>
    </row>
    <row r="761" spans="1:26" ht="14.25" customHeight="1">
      <c r="A761" s="118"/>
      <c r="B761" s="118"/>
      <c r="C761" s="118"/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N761" s="118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  <c r="Y761" s="118"/>
      <c r="Z761" s="118"/>
    </row>
    <row r="762" spans="1:26" ht="14.25" customHeight="1">
      <c r="A762" s="118"/>
      <c r="B762" s="118"/>
      <c r="C762" s="118"/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N762" s="118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  <c r="Y762" s="118"/>
      <c r="Z762" s="118"/>
    </row>
    <row r="763" spans="1:26" ht="14.25" customHeight="1">
      <c r="A763" s="118"/>
      <c r="B763" s="118"/>
      <c r="C763" s="118"/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N763" s="118"/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  <c r="Y763" s="118"/>
      <c r="Z763" s="118"/>
    </row>
    <row r="764" spans="1:26" ht="14.25" customHeight="1">
      <c r="A764" s="118"/>
      <c r="B764" s="118"/>
      <c r="C764" s="118"/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N764" s="118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  <c r="Y764" s="118"/>
      <c r="Z764" s="118"/>
    </row>
    <row r="765" spans="1:26" ht="14.25" customHeight="1">
      <c r="A765" s="118"/>
      <c r="B765" s="118"/>
      <c r="C765" s="118"/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N765" s="118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  <c r="Y765" s="118"/>
      <c r="Z765" s="118"/>
    </row>
    <row r="766" spans="1:26" ht="14.25" customHeight="1">
      <c r="A766" s="118"/>
      <c r="B766" s="118"/>
      <c r="C766" s="118"/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N766" s="118"/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  <c r="Y766" s="118"/>
      <c r="Z766" s="118"/>
    </row>
    <row r="767" spans="1:26" ht="14.25" customHeight="1">
      <c r="A767" s="118"/>
      <c r="B767" s="118"/>
      <c r="C767" s="118"/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N767" s="118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  <c r="Y767" s="118"/>
      <c r="Z767" s="118"/>
    </row>
    <row r="768" spans="1:26" ht="14.25" customHeight="1">
      <c r="A768" s="118"/>
      <c r="B768" s="118"/>
      <c r="C768" s="118"/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N768" s="118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  <c r="Y768" s="118"/>
      <c r="Z768" s="118"/>
    </row>
    <row r="769" spans="1:26" ht="14.25" customHeight="1">
      <c r="A769" s="118"/>
      <c r="B769" s="118"/>
      <c r="C769" s="118"/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N769" s="118"/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  <c r="Y769" s="118"/>
      <c r="Z769" s="118"/>
    </row>
    <row r="770" spans="1:26" ht="14.25" customHeight="1">
      <c r="A770" s="118"/>
      <c r="B770" s="118"/>
      <c r="C770" s="118"/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N770" s="118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  <c r="Y770" s="118"/>
      <c r="Z770" s="118"/>
    </row>
    <row r="771" spans="1:26" ht="14.25" customHeight="1">
      <c r="A771" s="118"/>
      <c r="B771" s="118"/>
      <c r="C771" s="118"/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N771" s="118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  <c r="Y771" s="118"/>
      <c r="Z771" s="118"/>
    </row>
    <row r="772" spans="1:26" ht="14.25" customHeight="1">
      <c r="A772" s="118"/>
      <c r="B772" s="118"/>
      <c r="C772" s="118"/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N772" s="118"/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  <c r="Y772" s="118"/>
      <c r="Z772" s="118"/>
    </row>
    <row r="773" spans="1:26" ht="14.25" customHeight="1">
      <c r="A773" s="118"/>
      <c r="B773" s="118"/>
      <c r="C773" s="118"/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N773" s="118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  <c r="Y773" s="118"/>
      <c r="Z773" s="118"/>
    </row>
    <row r="774" spans="1:26" ht="14.25" customHeight="1">
      <c r="A774" s="118"/>
      <c r="B774" s="118"/>
      <c r="C774" s="118"/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N774" s="118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  <c r="Y774" s="118"/>
      <c r="Z774" s="118"/>
    </row>
    <row r="775" spans="1:26" ht="14.25" customHeight="1">
      <c r="A775" s="118"/>
      <c r="B775" s="118"/>
      <c r="C775" s="118"/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18"/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  <c r="Y775" s="118"/>
      <c r="Z775" s="118"/>
    </row>
    <row r="776" spans="1:26" ht="14.25" customHeight="1">
      <c r="A776" s="118"/>
      <c r="B776" s="118"/>
      <c r="C776" s="118"/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N776" s="118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  <c r="Y776" s="118"/>
      <c r="Z776" s="118"/>
    </row>
    <row r="777" spans="1:26" ht="14.25" customHeight="1">
      <c r="A777" s="118"/>
      <c r="B777" s="118"/>
      <c r="C777" s="118"/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N777" s="118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  <c r="Y777" s="118"/>
      <c r="Z777" s="118"/>
    </row>
    <row r="778" spans="1:26" ht="14.25" customHeight="1">
      <c r="A778" s="118"/>
      <c r="B778" s="118"/>
      <c r="C778" s="118"/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N778" s="118"/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  <c r="Y778" s="118"/>
      <c r="Z778" s="118"/>
    </row>
    <row r="779" spans="1:26" ht="14.25" customHeight="1">
      <c r="A779" s="118"/>
      <c r="B779" s="118"/>
      <c r="C779" s="118"/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N779" s="118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  <c r="Y779" s="118"/>
      <c r="Z779" s="118"/>
    </row>
    <row r="780" spans="1:26" ht="14.25" customHeight="1">
      <c r="A780" s="118"/>
      <c r="B780" s="118"/>
      <c r="C780" s="118"/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N780" s="118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  <c r="Y780" s="118"/>
      <c r="Z780" s="118"/>
    </row>
    <row r="781" spans="1:26" ht="14.25" customHeight="1">
      <c r="A781" s="118"/>
      <c r="B781" s="118"/>
      <c r="C781" s="118"/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N781" s="118"/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  <c r="Y781" s="118"/>
      <c r="Z781" s="118"/>
    </row>
    <row r="782" spans="1:26" ht="14.25" customHeight="1">
      <c r="A782" s="118"/>
      <c r="B782" s="118"/>
      <c r="C782" s="118"/>
      <c r="D782" s="118"/>
      <c r="E782" s="118"/>
      <c r="F782" s="118"/>
      <c r="G782" s="118"/>
      <c r="H782" s="118"/>
      <c r="I782" s="118"/>
      <c r="J782" s="118"/>
      <c r="K782" s="118"/>
      <c r="L782" s="118"/>
      <c r="M782" s="118"/>
      <c r="N782" s="118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  <c r="Y782" s="118"/>
      <c r="Z782" s="118"/>
    </row>
    <row r="783" spans="1:26" ht="14.25" customHeight="1">
      <c r="A783" s="118"/>
      <c r="B783" s="118"/>
      <c r="C783" s="118"/>
      <c r="D783" s="118"/>
      <c r="E783" s="118"/>
      <c r="F783" s="118"/>
      <c r="G783" s="118"/>
      <c r="H783" s="118"/>
      <c r="I783" s="118"/>
      <c r="J783" s="118"/>
      <c r="K783" s="118"/>
      <c r="L783" s="118"/>
      <c r="M783" s="118"/>
      <c r="N783" s="118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  <c r="Y783" s="118"/>
      <c r="Z783" s="118"/>
    </row>
    <row r="784" spans="1:26" ht="14.25" customHeight="1">
      <c r="A784" s="118"/>
      <c r="B784" s="118"/>
      <c r="C784" s="118"/>
      <c r="D784" s="118"/>
      <c r="E784" s="118"/>
      <c r="F784" s="118"/>
      <c r="G784" s="118"/>
      <c r="H784" s="118"/>
      <c r="I784" s="118"/>
      <c r="J784" s="118"/>
      <c r="K784" s="118"/>
      <c r="L784" s="118"/>
      <c r="M784" s="118"/>
      <c r="N784" s="118"/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  <c r="Y784" s="118"/>
      <c r="Z784" s="118"/>
    </row>
    <row r="785" spans="1:26" ht="14.25" customHeight="1">
      <c r="A785" s="118"/>
      <c r="B785" s="118"/>
      <c r="C785" s="118"/>
      <c r="D785" s="118"/>
      <c r="E785" s="118"/>
      <c r="F785" s="118"/>
      <c r="G785" s="118"/>
      <c r="H785" s="118"/>
      <c r="I785" s="118"/>
      <c r="J785" s="118"/>
      <c r="K785" s="118"/>
      <c r="L785" s="118"/>
      <c r="M785" s="118"/>
      <c r="N785" s="118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  <c r="Y785" s="118"/>
      <c r="Z785" s="118"/>
    </row>
    <row r="786" spans="1:26" ht="14.25" customHeight="1">
      <c r="A786" s="118"/>
      <c r="B786" s="118"/>
      <c r="C786" s="118"/>
      <c r="D786" s="118"/>
      <c r="E786" s="118"/>
      <c r="F786" s="118"/>
      <c r="G786" s="118"/>
      <c r="H786" s="118"/>
      <c r="I786" s="118"/>
      <c r="J786" s="118"/>
      <c r="K786" s="118"/>
      <c r="L786" s="118"/>
      <c r="M786" s="118"/>
      <c r="N786" s="118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  <c r="Y786" s="118"/>
      <c r="Z786" s="118"/>
    </row>
    <row r="787" spans="1:26" ht="14.25" customHeight="1">
      <c r="A787" s="118"/>
      <c r="B787" s="118"/>
      <c r="C787" s="118"/>
      <c r="D787" s="118"/>
      <c r="E787" s="118"/>
      <c r="F787" s="118"/>
      <c r="G787" s="118"/>
      <c r="H787" s="118"/>
      <c r="I787" s="118"/>
      <c r="J787" s="118"/>
      <c r="K787" s="118"/>
      <c r="L787" s="118"/>
      <c r="M787" s="118"/>
      <c r="N787" s="118"/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  <c r="Y787" s="118"/>
      <c r="Z787" s="118"/>
    </row>
    <row r="788" spans="1:26" ht="14.25" customHeight="1">
      <c r="A788" s="118"/>
      <c r="B788" s="118"/>
      <c r="C788" s="118"/>
      <c r="D788" s="118"/>
      <c r="E788" s="118"/>
      <c r="F788" s="118"/>
      <c r="G788" s="118"/>
      <c r="H788" s="118"/>
      <c r="I788" s="118"/>
      <c r="J788" s="118"/>
      <c r="K788" s="118"/>
      <c r="L788" s="118"/>
      <c r="M788" s="118"/>
      <c r="N788" s="118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  <c r="Y788" s="118"/>
      <c r="Z788" s="118"/>
    </row>
    <row r="789" spans="1:26" ht="14.25" customHeight="1">
      <c r="A789" s="118"/>
      <c r="B789" s="118"/>
      <c r="C789" s="118"/>
      <c r="D789" s="118"/>
      <c r="E789" s="118"/>
      <c r="F789" s="118"/>
      <c r="G789" s="118"/>
      <c r="H789" s="118"/>
      <c r="I789" s="118"/>
      <c r="J789" s="118"/>
      <c r="K789" s="118"/>
      <c r="L789" s="118"/>
      <c r="M789" s="118"/>
      <c r="N789" s="118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  <c r="Y789" s="118"/>
      <c r="Z789" s="118"/>
    </row>
    <row r="790" spans="1:26" ht="14.25" customHeight="1">
      <c r="A790" s="118"/>
      <c r="B790" s="118"/>
      <c r="C790" s="118"/>
      <c r="D790" s="118"/>
      <c r="E790" s="118"/>
      <c r="F790" s="118"/>
      <c r="G790" s="118"/>
      <c r="H790" s="118"/>
      <c r="I790" s="118"/>
      <c r="J790" s="118"/>
      <c r="K790" s="118"/>
      <c r="L790" s="118"/>
      <c r="M790" s="118"/>
      <c r="N790" s="118"/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  <c r="Y790" s="118"/>
      <c r="Z790" s="118"/>
    </row>
    <row r="791" spans="1:26" ht="14.25" customHeight="1">
      <c r="A791" s="118"/>
      <c r="B791" s="118"/>
      <c r="C791" s="118"/>
      <c r="D791" s="118"/>
      <c r="E791" s="118"/>
      <c r="F791" s="118"/>
      <c r="G791" s="118"/>
      <c r="H791" s="118"/>
      <c r="I791" s="118"/>
      <c r="J791" s="118"/>
      <c r="K791" s="118"/>
      <c r="L791" s="118"/>
      <c r="M791" s="118"/>
      <c r="N791" s="118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  <c r="Y791" s="118"/>
      <c r="Z791" s="118"/>
    </row>
    <row r="792" spans="1:26" ht="14.25" customHeight="1">
      <c r="A792" s="118"/>
      <c r="B792" s="118"/>
      <c r="C792" s="118"/>
      <c r="D792" s="118"/>
      <c r="E792" s="118"/>
      <c r="F792" s="118"/>
      <c r="G792" s="118"/>
      <c r="H792" s="118"/>
      <c r="I792" s="118"/>
      <c r="J792" s="118"/>
      <c r="K792" s="118"/>
      <c r="L792" s="118"/>
      <c r="M792" s="118"/>
      <c r="N792" s="118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  <c r="Y792" s="118"/>
      <c r="Z792" s="118"/>
    </row>
    <row r="793" spans="1:26" ht="14.25" customHeight="1">
      <c r="A793" s="118"/>
      <c r="B793" s="118"/>
      <c r="C793" s="118"/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N793" s="118"/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  <c r="Y793" s="118"/>
      <c r="Z793" s="118"/>
    </row>
    <row r="794" spans="1:26" ht="14.25" customHeight="1">
      <c r="A794" s="118"/>
      <c r="B794" s="118"/>
      <c r="C794" s="118"/>
      <c r="D794" s="118"/>
      <c r="E794" s="118"/>
      <c r="F794" s="118"/>
      <c r="G794" s="118"/>
      <c r="H794" s="118"/>
      <c r="I794" s="118"/>
      <c r="J794" s="118"/>
      <c r="K794" s="118"/>
      <c r="L794" s="118"/>
      <c r="M794" s="118"/>
      <c r="N794" s="118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  <c r="Y794" s="118"/>
      <c r="Z794" s="118"/>
    </row>
    <row r="795" spans="1:26" ht="14.25" customHeight="1">
      <c r="A795" s="118"/>
      <c r="B795" s="118"/>
      <c r="C795" s="118"/>
      <c r="D795" s="118"/>
      <c r="E795" s="118"/>
      <c r="F795" s="118"/>
      <c r="G795" s="118"/>
      <c r="H795" s="118"/>
      <c r="I795" s="118"/>
      <c r="J795" s="118"/>
      <c r="K795" s="118"/>
      <c r="L795" s="118"/>
      <c r="M795" s="118"/>
      <c r="N795" s="118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  <c r="Y795" s="118"/>
      <c r="Z795" s="118"/>
    </row>
    <row r="796" spans="1:26" ht="14.25" customHeight="1">
      <c r="A796" s="118"/>
      <c r="B796" s="118"/>
      <c r="C796" s="118"/>
      <c r="D796" s="118"/>
      <c r="E796" s="118"/>
      <c r="F796" s="118"/>
      <c r="G796" s="118"/>
      <c r="H796" s="118"/>
      <c r="I796" s="118"/>
      <c r="J796" s="118"/>
      <c r="K796" s="118"/>
      <c r="L796" s="118"/>
      <c r="M796" s="118"/>
      <c r="N796" s="118"/>
      <c r="O796" s="118"/>
      <c r="P796" s="118"/>
      <c r="Q796" s="118"/>
      <c r="R796" s="118"/>
      <c r="S796" s="118"/>
      <c r="T796" s="118"/>
      <c r="U796" s="118"/>
      <c r="V796" s="118"/>
      <c r="W796" s="118"/>
      <c r="X796" s="118"/>
      <c r="Y796" s="118"/>
      <c r="Z796" s="118"/>
    </row>
    <row r="797" spans="1:26" ht="14.25" customHeight="1">
      <c r="A797" s="118"/>
      <c r="B797" s="118"/>
      <c r="C797" s="118"/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N797" s="118"/>
      <c r="O797" s="118"/>
      <c r="P797" s="118"/>
      <c r="Q797" s="118"/>
      <c r="R797" s="118"/>
      <c r="S797" s="118"/>
      <c r="T797" s="118"/>
      <c r="U797" s="118"/>
      <c r="V797" s="118"/>
      <c r="W797" s="118"/>
      <c r="X797" s="118"/>
      <c r="Y797" s="118"/>
      <c r="Z797" s="118"/>
    </row>
    <row r="798" spans="1:26" ht="14.25" customHeight="1">
      <c r="A798" s="118"/>
      <c r="B798" s="118"/>
      <c r="C798" s="118"/>
      <c r="D798" s="118"/>
      <c r="E798" s="118"/>
      <c r="F798" s="118"/>
      <c r="G798" s="118"/>
      <c r="H798" s="118"/>
      <c r="I798" s="118"/>
      <c r="J798" s="118"/>
      <c r="K798" s="118"/>
      <c r="L798" s="118"/>
      <c r="M798" s="118"/>
      <c r="N798" s="118"/>
      <c r="O798" s="118"/>
      <c r="P798" s="118"/>
      <c r="Q798" s="118"/>
      <c r="R798" s="118"/>
      <c r="S798" s="118"/>
      <c r="T798" s="118"/>
      <c r="U798" s="118"/>
      <c r="V798" s="118"/>
      <c r="W798" s="118"/>
      <c r="X798" s="118"/>
      <c r="Y798" s="118"/>
      <c r="Z798" s="118"/>
    </row>
    <row r="799" spans="1:26" ht="14.25" customHeight="1">
      <c r="A799" s="118"/>
      <c r="B799" s="118"/>
      <c r="C799" s="118"/>
      <c r="D799" s="118"/>
      <c r="E799" s="118"/>
      <c r="F799" s="118"/>
      <c r="G799" s="118"/>
      <c r="H799" s="118"/>
      <c r="I799" s="118"/>
      <c r="J799" s="118"/>
      <c r="K799" s="118"/>
      <c r="L799" s="118"/>
      <c r="M799" s="118"/>
      <c r="N799" s="118"/>
      <c r="O799" s="118"/>
      <c r="P799" s="118"/>
      <c r="Q799" s="118"/>
      <c r="R799" s="118"/>
      <c r="S799" s="118"/>
      <c r="T799" s="118"/>
      <c r="U799" s="118"/>
      <c r="V799" s="118"/>
      <c r="W799" s="118"/>
      <c r="X799" s="118"/>
      <c r="Y799" s="118"/>
      <c r="Z799" s="118"/>
    </row>
    <row r="800" spans="1:26" ht="14.25" customHeight="1">
      <c r="A800" s="118"/>
      <c r="B800" s="118"/>
      <c r="C800" s="118"/>
      <c r="D800" s="118"/>
      <c r="E800" s="118"/>
      <c r="F800" s="118"/>
      <c r="G800" s="118"/>
      <c r="H800" s="118"/>
      <c r="I800" s="118"/>
      <c r="J800" s="118"/>
      <c r="K800" s="118"/>
      <c r="L800" s="118"/>
      <c r="M800" s="118"/>
      <c r="N800" s="118"/>
      <c r="O800" s="118"/>
      <c r="P800" s="118"/>
      <c r="Q800" s="118"/>
      <c r="R800" s="118"/>
      <c r="S800" s="118"/>
      <c r="T800" s="118"/>
      <c r="U800" s="118"/>
      <c r="V800" s="118"/>
      <c r="W800" s="118"/>
      <c r="X800" s="118"/>
      <c r="Y800" s="118"/>
      <c r="Z800" s="118"/>
    </row>
    <row r="801" spans="1:26" ht="14.25" customHeight="1">
      <c r="A801" s="118"/>
      <c r="B801" s="118"/>
      <c r="C801" s="118"/>
      <c r="D801" s="118"/>
      <c r="E801" s="118"/>
      <c r="F801" s="118"/>
      <c r="G801" s="118"/>
      <c r="H801" s="118"/>
      <c r="I801" s="118"/>
      <c r="J801" s="118"/>
      <c r="K801" s="118"/>
      <c r="L801" s="118"/>
      <c r="M801" s="118"/>
      <c r="N801" s="118"/>
      <c r="O801" s="118"/>
      <c r="P801" s="118"/>
      <c r="Q801" s="118"/>
      <c r="R801" s="118"/>
      <c r="S801" s="118"/>
      <c r="T801" s="118"/>
      <c r="U801" s="118"/>
      <c r="V801" s="118"/>
      <c r="W801" s="118"/>
      <c r="X801" s="118"/>
      <c r="Y801" s="118"/>
      <c r="Z801" s="118"/>
    </row>
    <row r="802" spans="1:26" ht="14.25" customHeight="1">
      <c r="A802" s="118"/>
      <c r="B802" s="118"/>
      <c r="C802" s="118"/>
      <c r="D802" s="118"/>
      <c r="E802" s="118"/>
      <c r="F802" s="118"/>
      <c r="G802" s="118"/>
      <c r="H802" s="118"/>
      <c r="I802" s="118"/>
      <c r="J802" s="118"/>
      <c r="K802" s="118"/>
      <c r="L802" s="118"/>
      <c r="M802" s="118"/>
      <c r="N802" s="118"/>
      <c r="O802" s="118"/>
      <c r="P802" s="118"/>
      <c r="Q802" s="118"/>
      <c r="R802" s="118"/>
      <c r="S802" s="118"/>
      <c r="T802" s="118"/>
      <c r="U802" s="118"/>
      <c r="V802" s="118"/>
      <c r="W802" s="118"/>
      <c r="X802" s="118"/>
      <c r="Y802" s="118"/>
      <c r="Z802" s="118"/>
    </row>
    <row r="803" spans="1:26" ht="14.25" customHeight="1">
      <c r="A803" s="118"/>
      <c r="B803" s="118"/>
      <c r="C803" s="118"/>
      <c r="D803" s="118"/>
      <c r="E803" s="118"/>
      <c r="F803" s="118"/>
      <c r="G803" s="118"/>
      <c r="H803" s="118"/>
      <c r="I803" s="118"/>
      <c r="J803" s="118"/>
      <c r="K803" s="118"/>
      <c r="L803" s="118"/>
      <c r="M803" s="118"/>
      <c r="N803" s="118"/>
      <c r="O803" s="118"/>
      <c r="P803" s="118"/>
      <c r="Q803" s="118"/>
      <c r="R803" s="118"/>
      <c r="S803" s="118"/>
      <c r="T803" s="118"/>
      <c r="U803" s="118"/>
      <c r="V803" s="118"/>
      <c r="W803" s="118"/>
      <c r="X803" s="118"/>
      <c r="Y803" s="118"/>
      <c r="Z803" s="118"/>
    </row>
    <row r="804" spans="1:26" ht="14.25" customHeight="1">
      <c r="A804" s="118"/>
      <c r="B804" s="118"/>
      <c r="C804" s="118"/>
      <c r="D804" s="118"/>
      <c r="E804" s="118"/>
      <c r="F804" s="118"/>
      <c r="G804" s="118"/>
      <c r="H804" s="118"/>
      <c r="I804" s="118"/>
      <c r="J804" s="118"/>
      <c r="K804" s="118"/>
      <c r="L804" s="118"/>
      <c r="M804" s="118"/>
      <c r="N804" s="118"/>
      <c r="O804" s="118"/>
      <c r="P804" s="118"/>
      <c r="Q804" s="118"/>
      <c r="R804" s="118"/>
      <c r="S804" s="118"/>
      <c r="T804" s="118"/>
      <c r="U804" s="118"/>
      <c r="V804" s="118"/>
      <c r="W804" s="118"/>
      <c r="X804" s="118"/>
      <c r="Y804" s="118"/>
      <c r="Z804" s="118"/>
    </row>
    <row r="805" spans="1:26" ht="14.25" customHeight="1">
      <c r="A805" s="118"/>
      <c r="B805" s="118"/>
      <c r="C805" s="118"/>
      <c r="D805" s="118"/>
      <c r="E805" s="118"/>
      <c r="F805" s="118"/>
      <c r="G805" s="118"/>
      <c r="H805" s="118"/>
      <c r="I805" s="118"/>
      <c r="J805" s="118"/>
      <c r="K805" s="118"/>
      <c r="L805" s="118"/>
      <c r="M805" s="118"/>
      <c r="N805" s="118"/>
      <c r="O805" s="118"/>
      <c r="P805" s="118"/>
      <c r="Q805" s="118"/>
      <c r="R805" s="118"/>
      <c r="S805" s="118"/>
      <c r="T805" s="118"/>
      <c r="U805" s="118"/>
      <c r="V805" s="118"/>
      <c r="W805" s="118"/>
      <c r="X805" s="118"/>
      <c r="Y805" s="118"/>
      <c r="Z805" s="118"/>
    </row>
    <row r="806" spans="1:26" ht="14.25" customHeight="1">
      <c r="A806" s="118"/>
      <c r="B806" s="118"/>
      <c r="C806" s="118"/>
      <c r="D806" s="118"/>
      <c r="E806" s="118"/>
      <c r="F806" s="118"/>
      <c r="G806" s="118"/>
      <c r="H806" s="118"/>
      <c r="I806" s="118"/>
      <c r="J806" s="118"/>
      <c r="K806" s="118"/>
      <c r="L806" s="118"/>
      <c r="M806" s="118"/>
      <c r="N806" s="118"/>
      <c r="O806" s="118"/>
      <c r="P806" s="118"/>
      <c r="Q806" s="118"/>
      <c r="R806" s="118"/>
      <c r="S806" s="118"/>
      <c r="T806" s="118"/>
      <c r="U806" s="118"/>
      <c r="V806" s="118"/>
      <c r="W806" s="118"/>
      <c r="X806" s="118"/>
      <c r="Y806" s="118"/>
      <c r="Z806" s="118"/>
    </row>
    <row r="807" spans="1:26" ht="14.25" customHeight="1">
      <c r="A807" s="118"/>
      <c r="B807" s="118"/>
      <c r="C807" s="118"/>
      <c r="D807" s="118"/>
      <c r="E807" s="118"/>
      <c r="F807" s="118"/>
      <c r="G807" s="118"/>
      <c r="H807" s="118"/>
      <c r="I807" s="118"/>
      <c r="J807" s="118"/>
      <c r="K807" s="118"/>
      <c r="L807" s="118"/>
      <c r="M807" s="118"/>
      <c r="N807" s="118"/>
      <c r="O807" s="118"/>
      <c r="P807" s="118"/>
      <c r="Q807" s="118"/>
      <c r="R807" s="118"/>
      <c r="S807" s="118"/>
      <c r="T807" s="118"/>
      <c r="U807" s="118"/>
      <c r="V807" s="118"/>
      <c r="W807" s="118"/>
      <c r="X807" s="118"/>
      <c r="Y807" s="118"/>
      <c r="Z807" s="118"/>
    </row>
    <row r="808" spans="1:26" ht="14.25" customHeight="1">
      <c r="A808" s="118"/>
      <c r="B808" s="118"/>
      <c r="C808" s="118"/>
      <c r="D808" s="118"/>
      <c r="E808" s="118"/>
      <c r="F808" s="118"/>
      <c r="G808" s="118"/>
      <c r="H808" s="118"/>
      <c r="I808" s="118"/>
      <c r="J808" s="118"/>
      <c r="K808" s="118"/>
      <c r="L808" s="118"/>
      <c r="M808" s="118"/>
      <c r="N808" s="118"/>
      <c r="O808" s="118"/>
      <c r="P808" s="118"/>
      <c r="Q808" s="118"/>
      <c r="R808" s="118"/>
      <c r="S808" s="118"/>
      <c r="T808" s="118"/>
      <c r="U808" s="118"/>
      <c r="V808" s="118"/>
      <c r="W808" s="118"/>
      <c r="X808" s="118"/>
      <c r="Y808" s="118"/>
      <c r="Z808" s="118"/>
    </row>
    <row r="809" spans="1:26" ht="14.25" customHeight="1">
      <c r="A809" s="118"/>
      <c r="B809" s="118"/>
      <c r="C809" s="118"/>
      <c r="D809" s="118"/>
      <c r="E809" s="118"/>
      <c r="F809" s="118"/>
      <c r="G809" s="118"/>
      <c r="H809" s="118"/>
      <c r="I809" s="118"/>
      <c r="J809" s="118"/>
      <c r="K809" s="118"/>
      <c r="L809" s="118"/>
      <c r="M809" s="118"/>
      <c r="N809" s="118"/>
      <c r="O809" s="118"/>
      <c r="P809" s="118"/>
      <c r="Q809" s="118"/>
      <c r="R809" s="118"/>
      <c r="S809" s="118"/>
      <c r="T809" s="118"/>
      <c r="U809" s="118"/>
      <c r="V809" s="118"/>
      <c r="W809" s="118"/>
      <c r="X809" s="118"/>
      <c r="Y809" s="118"/>
      <c r="Z809" s="118"/>
    </row>
    <row r="810" spans="1:26" ht="14.25" customHeight="1">
      <c r="A810" s="118"/>
      <c r="B810" s="118"/>
      <c r="C810" s="118"/>
      <c r="D810" s="118"/>
      <c r="E810" s="118"/>
      <c r="F810" s="118"/>
      <c r="G810" s="118"/>
      <c r="H810" s="118"/>
      <c r="I810" s="118"/>
      <c r="J810" s="118"/>
      <c r="K810" s="118"/>
      <c r="L810" s="118"/>
      <c r="M810" s="118"/>
      <c r="N810" s="118"/>
      <c r="O810" s="118"/>
      <c r="P810" s="118"/>
      <c r="Q810" s="118"/>
      <c r="R810" s="118"/>
      <c r="S810" s="118"/>
      <c r="T810" s="118"/>
      <c r="U810" s="118"/>
      <c r="V810" s="118"/>
      <c r="W810" s="118"/>
      <c r="X810" s="118"/>
      <c r="Y810" s="118"/>
      <c r="Z810" s="118"/>
    </row>
    <row r="811" spans="1:26" ht="14.25" customHeight="1">
      <c r="A811" s="118"/>
      <c r="B811" s="118"/>
      <c r="C811" s="118"/>
      <c r="D811" s="118"/>
      <c r="E811" s="118"/>
      <c r="F811" s="118"/>
      <c r="G811" s="118"/>
      <c r="H811" s="118"/>
      <c r="I811" s="118"/>
      <c r="J811" s="118"/>
      <c r="K811" s="118"/>
      <c r="L811" s="118"/>
      <c r="M811" s="118"/>
      <c r="N811" s="118"/>
      <c r="O811" s="118"/>
      <c r="P811" s="118"/>
      <c r="Q811" s="118"/>
      <c r="R811" s="118"/>
      <c r="S811" s="118"/>
      <c r="T811" s="118"/>
      <c r="U811" s="118"/>
      <c r="V811" s="118"/>
      <c r="W811" s="118"/>
      <c r="X811" s="118"/>
      <c r="Y811" s="118"/>
      <c r="Z811" s="118"/>
    </row>
    <row r="812" spans="1:26" ht="14.25" customHeight="1">
      <c r="A812" s="118"/>
      <c r="B812" s="118"/>
      <c r="C812" s="118"/>
      <c r="D812" s="118"/>
      <c r="E812" s="118"/>
      <c r="F812" s="118"/>
      <c r="G812" s="118"/>
      <c r="H812" s="118"/>
      <c r="I812" s="118"/>
      <c r="J812" s="118"/>
      <c r="K812" s="118"/>
      <c r="L812" s="118"/>
      <c r="M812" s="118"/>
      <c r="N812" s="118"/>
      <c r="O812" s="118"/>
      <c r="P812" s="118"/>
      <c r="Q812" s="118"/>
      <c r="R812" s="118"/>
      <c r="S812" s="118"/>
      <c r="T812" s="118"/>
      <c r="U812" s="118"/>
      <c r="V812" s="118"/>
      <c r="W812" s="118"/>
      <c r="X812" s="118"/>
      <c r="Y812" s="118"/>
      <c r="Z812" s="118"/>
    </row>
    <row r="813" spans="1:26" ht="14.25" customHeight="1">
      <c r="A813" s="118"/>
      <c r="B813" s="118"/>
      <c r="C813" s="118"/>
      <c r="D813" s="118"/>
      <c r="E813" s="118"/>
      <c r="F813" s="118"/>
      <c r="G813" s="118"/>
      <c r="H813" s="118"/>
      <c r="I813" s="118"/>
      <c r="J813" s="118"/>
      <c r="K813" s="118"/>
      <c r="L813" s="118"/>
      <c r="M813" s="118"/>
      <c r="N813" s="118"/>
      <c r="O813" s="118"/>
      <c r="P813" s="118"/>
      <c r="Q813" s="118"/>
      <c r="R813" s="118"/>
      <c r="S813" s="118"/>
      <c r="T813" s="118"/>
      <c r="U813" s="118"/>
      <c r="V813" s="118"/>
      <c r="W813" s="118"/>
      <c r="X813" s="118"/>
      <c r="Y813" s="118"/>
      <c r="Z813" s="118"/>
    </row>
    <row r="814" spans="1:26" ht="14.25" customHeight="1">
      <c r="A814" s="118"/>
      <c r="B814" s="118"/>
      <c r="C814" s="118"/>
      <c r="D814" s="118"/>
      <c r="E814" s="118"/>
      <c r="F814" s="118"/>
      <c r="G814" s="118"/>
      <c r="H814" s="118"/>
      <c r="I814" s="118"/>
      <c r="J814" s="118"/>
      <c r="K814" s="118"/>
      <c r="L814" s="118"/>
      <c r="M814" s="118"/>
      <c r="N814" s="118"/>
      <c r="O814" s="118"/>
      <c r="P814" s="118"/>
      <c r="Q814" s="118"/>
      <c r="R814" s="118"/>
      <c r="S814" s="118"/>
      <c r="T814" s="118"/>
      <c r="U814" s="118"/>
      <c r="V814" s="118"/>
      <c r="W814" s="118"/>
      <c r="X814" s="118"/>
      <c r="Y814" s="118"/>
      <c r="Z814" s="118"/>
    </row>
    <row r="815" spans="1:26" ht="14.25" customHeight="1">
      <c r="A815" s="118"/>
      <c r="B815" s="118"/>
      <c r="C815" s="118"/>
      <c r="D815" s="118"/>
      <c r="E815" s="118"/>
      <c r="F815" s="118"/>
      <c r="G815" s="118"/>
      <c r="H815" s="118"/>
      <c r="I815" s="118"/>
      <c r="J815" s="118"/>
      <c r="K815" s="118"/>
      <c r="L815" s="118"/>
      <c r="M815" s="118"/>
      <c r="N815" s="118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  <c r="Y815" s="118"/>
      <c r="Z815" s="118"/>
    </row>
    <row r="816" spans="1:26" ht="14.25" customHeight="1">
      <c r="A816" s="118"/>
      <c r="B816" s="118"/>
      <c r="C816" s="118"/>
      <c r="D816" s="118"/>
      <c r="E816" s="118"/>
      <c r="F816" s="118"/>
      <c r="G816" s="118"/>
      <c r="H816" s="118"/>
      <c r="I816" s="118"/>
      <c r="J816" s="118"/>
      <c r="K816" s="118"/>
      <c r="L816" s="118"/>
      <c r="M816" s="118"/>
      <c r="N816" s="118"/>
      <c r="O816" s="118"/>
      <c r="P816" s="118"/>
      <c r="Q816" s="118"/>
      <c r="R816" s="118"/>
      <c r="S816" s="118"/>
      <c r="T816" s="118"/>
      <c r="U816" s="118"/>
      <c r="V816" s="118"/>
      <c r="W816" s="118"/>
      <c r="X816" s="118"/>
      <c r="Y816" s="118"/>
      <c r="Z816" s="118"/>
    </row>
    <row r="817" spans="1:26" ht="14.25" customHeight="1">
      <c r="A817" s="118"/>
      <c r="B817" s="118"/>
      <c r="C817" s="118"/>
      <c r="D817" s="118"/>
      <c r="E817" s="118"/>
      <c r="F817" s="118"/>
      <c r="G817" s="118"/>
      <c r="H817" s="118"/>
      <c r="I817" s="118"/>
      <c r="J817" s="118"/>
      <c r="K817" s="118"/>
      <c r="L817" s="118"/>
      <c r="M817" s="118"/>
      <c r="N817" s="118"/>
      <c r="O817" s="118"/>
      <c r="P817" s="118"/>
      <c r="Q817" s="118"/>
      <c r="R817" s="118"/>
      <c r="S817" s="118"/>
      <c r="T817" s="118"/>
      <c r="U817" s="118"/>
      <c r="V817" s="118"/>
      <c r="W817" s="118"/>
      <c r="X817" s="118"/>
      <c r="Y817" s="118"/>
      <c r="Z817" s="118"/>
    </row>
    <row r="818" spans="1:26" ht="14.25" customHeight="1">
      <c r="A818" s="118"/>
      <c r="B818" s="118"/>
      <c r="C818" s="118"/>
      <c r="D818" s="118"/>
      <c r="E818" s="118"/>
      <c r="F818" s="118"/>
      <c r="G818" s="118"/>
      <c r="H818" s="118"/>
      <c r="I818" s="118"/>
      <c r="J818" s="118"/>
      <c r="K818" s="118"/>
      <c r="L818" s="118"/>
      <c r="M818" s="118"/>
      <c r="N818" s="118"/>
      <c r="O818" s="118"/>
      <c r="P818" s="118"/>
      <c r="Q818" s="118"/>
      <c r="R818" s="118"/>
      <c r="S818" s="118"/>
      <c r="T818" s="118"/>
      <c r="U818" s="118"/>
      <c r="V818" s="118"/>
      <c r="W818" s="118"/>
      <c r="X818" s="118"/>
      <c r="Y818" s="118"/>
      <c r="Z818" s="118"/>
    </row>
    <row r="819" spans="1:26" ht="14.25" customHeight="1">
      <c r="A819" s="118"/>
      <c r="B819" s="118"/>
      <c r="C819" s="118"/>
      <c r="D819" s="118"/>
      <c r="E819" s="118"/>
      <c r="F819" s="118"/>
      <c r="G819" s="118"/>
      <c r="H819" s="118"/>
      <c r="I819" s="118"/>
      <c r="J819" s="118"/>
      <c r="K819" s="118"/>
      <c r="L819" s="118"/>
      <c r="M819" s="118"/>
      <c r="N819" s="118"/>
      <c r="O819" s="118"/>
      <c r="P819" s="118"/>
      <c r="Q819" s="118"/>
      <c r="R819" s="118"/>
      <c r="S819" s="118"/>
      <c r="T819" s="118"/>
      <c r="U819" s="118"/>
      <c r="V819" s="118"/>
      <c r="W819" s="118"/>
      <c r="X819" s="118"/>
      <c r="Y819" s="118"/>
      <c r="Z819" s="118"/>
    </row>
    <row r="820" spans="1:26" ht="14.25" customHeight="1">
      <c r="A820" s="118"/>
      <c r="B820" s="118"/>
      <c r="C820" s="118"/>
      <c r="D820" s="118"/>
      <c r="E820" s="118"/>
      <c r="F820" s="118"/>
      <c r="G820" s="118"/>
      <c r="H820" s="118"/>
      <c r="I820" s="118"/>
      <c r="J820" s="118"/>
      <c r="K820" s="118"/>
      <c r="L820" s="118"/>
      <c r="M820" s="118"/>
      <c r="N820" s="118"/>
      <c r="O820" s="118"/>
      <c r="P820" s="118"/>
      <c r="Q820" s="118"/>
      <c r="R820" s="118"/>
      <c r="S820" s="118"/>
      <c r="T820" s="118"/>
      <c r="U820" s="118"/>
      <c r="V820" s="118"/>
      <c r="W820" s="118"/>
      <c r="X820" s="118"/>
      <c r="Y820" s="118"/>
      <c r="Z820" s="118"/>
    </row>
    <row r="821" spans="1:26" ht="14.25" customHeight="1">
      <c r="A821" s="118"/>
      <c r="B821" s="118"/>
      <c r="C821" s="118"/>
      <c r="D821" s="118"/>
      <c r="E821" s="118"/>
      <c r="F821" s="118"/>
      <c r="G821" s="118"/>
      <c r="H821" s="118"/>
      <c r="I821" s="118"/>
      <c r="J821" s="118"/>
      <c r="K821" s="118"/>
      <c r="L821" s="118"/>
      <c r="M821" s="118"/>
      <c r="N821" s="118"/>
      <c r="O821" s="118"/>
      <c r="P821" s="118"/>
      <c r="Q821" s="118"/>
      <c r="R821" s="118"/>
      <c r="S821" s="118"/>
      <c r="T821" s="118"/>
      <c r="U821" s="118"/>
      <c r="V821" s="118"/>
      <c r="W821" s="118"/>
      <c r="X821" s="118"/>
      <c r="Y821" s="118"/>
      <c r="Z821" s="118"/>
    </row>
    <row r="822" spans="1:26" ht="14.25" customHeight="1">
      <c r="A822" s="118"/>
      <c r="B822" s="118"/>
      <c r="C822" s="118"/>
      <c r="D822" s="118"/>
      <c r="E822" s="118"/>
      <c r="F822" s="118"/>
      <c r="G822" s="118"/>
      <c r="H822" s="118"/>
      <c r="I822" s="118"/>
      <c r="J822" s="118"/>
      <c r="K822" s="118"/>
      <c r="L822" s="118"/>
      <c r="M822" s="118"/>
      <c r="N822" s="118"/>
      <c r="O822" s="118"/>
      <c r="P822" s="118"/>
      <c r="Q822" s="118"/>
      <c r="R822" s="118"/>
      <c r="S822" s="118"/>
      <c r="T822" s="118"/>
      <c r="U822" s="118"/>
      <c r="V822" s="118"/>
      <c r="W822" s="118"/>
      <c r="X822" s="118"/>
      <c r="Y822" s="118"/>
      <c r="Z822" s="118"/>
    </row>
    <row r="823" spans="1:26" ht="14.25" customHeight="1">
      <c r="A823" s="118"/>
      <c r="B823" s="118"/>
      <c r="C823" s="118"/>
      <c r="D823" s="118"/>
      <c r="E823" s="118"/>
      <c r="F823" s="118"/>
      <c r="G823" s="118"/>
      <c r="H823" s="118"/>
      <c r="I823" s="118"/>
      <c r="J823" s="118"/>
      <c r="K823" s="118"/>
      <c r="L823" s="118"/>
      <c r="M823" s="118"/>
      <c r="N823" s="118"/>
      <c r="O823" s="118"/>
      <c r="P823" s="118"/>
      <c r="Q823" s="118"/>
      <c r="R823" s="118"/>
      <c r="S823" s="118"/>
      <c r="T823" s="118"/>
      <c r="U823" s="118"/>
      <c r="V823" s="118"/>
      <c r="W823" s="118"/>
      <c r="X823" s="118"/>
      <c r="Y823" s="118"/>
      <c r="Z823" s="118"/>
    </row>
    <row r="824" spans="1:26" ht="14.25" customHeight="1">
      <c r="A824" s="118"/>
      <c r="B824" s="118"/>
      <c r="C824" s="118"/>
      <c r="D824" s="118"/>
      <c r="E824" s="118"/>
      <c r="F824" s="118"/>
      <c r="G824" s="118"/>
      <c r="H824" s="118"/>
      <c r="I824" s="118"/>
      <c r="J824" s="118"/>
      <c r="K824" s="118"/>
      <c r="L824" s="118"/>
      <c r="M824" s="118"/>
      <c r="N824" s="118"/>
      <c r="O824" s="118"/>
      <c r="P824" s="118"/>
      <c r="Q824" s="118"/>
      <c r="R824" s="118"/>
      <c r="S824" s="118"/>
      <c r="T824" s="118"/>
      <c r="U824" s="118"/>
      <c r="V824" s="118"/>
      <c r="W824" s="118"/>
      <c r="X824" s="118"/>
      <c r="Y824" s="118"/>
      <c r="Z824" s="118"/>
    </row>
    <row r="825" spans="1:26" ht="14.25" customHeight="1">
      <c r="A825" s="118"/>
      <c r="B825" s="118"/>
      <c r="C825" s="118"/>
      <c r="D825" s="118"/>
      <c r="E825" s="118"/>
      <c r="F825" s="118"/>
      <c r="G825" s="118"/>
      <c r="H825" s="118"/>
      <c r="I825" s="118"/>
      <c r="J825" s="118"/>
      <c r="K825" s="118"/>
      <c r="L825" s="118"/>
      <c r="M825" s="118"/>
      <c r="N825" s="118"/>
      <c r="O825" s="118"/>
      <c r="P825" s="118"/>
      <c r="Q825" s="118"/>
      <c r="R825" s="118"/>
      <c r="S825" s="118"/>
      <c r="T825" s="118"/>
      <c r="U825" s="118"/>
      <c r="V825" s="118"/>
      <c r="W825" s="118"/>
      <c r="X825" s="118"/>
      <c r="Y825" s="118"/>
      <c r="Z825" s="118"/>
    </row>
    <row r="826" spans="1:26" ht="14.25" customHeight="1">
      <c r="A826" s="118"/>
      <c r="B826" s="118"/>
      <c r="C826" s="118"/>
      <c r="D826" s="118"/>
      <c r="E826" s="118"/>
      <c r="F826" s="118"/>
      <c r="G826" s="118"/>
      <c r="H826" s="118"/>
      <c r="I826" s="118"/>
      <c r="J826" s="118"/>
      <c r="K826" s="118"/>
      <c r="L826" s="118"/>
      <c r="M826" s="118"/>
      <c r="N826" s="118"/>
      <c r="O826" s="118"/>
      <c r="P826" s="118"/>
      <c r="Q826" s="118"/>
      <c r="R826" s="118"/>
      <c r="S826" s="118"/>
      <c r="T826" s="118"/>
      <c r="U826" s="118"/>
      <c r="V826" s="118"/>
      <c r="W826" s="118"/>
      <c r="X826" s="118"/>
      <c r="Y826" s="118"/>
      <c r="Z826" s="118"/>
    </row>
    <row r="827" spans="1:26" ht="14.25" customHeight="1">
      <c r="A827" s="118"/>
      <c r="B827" s="118"/>
      <c r="C827" s="118"/>
      <c r="D827" s="118"/>
      <c r="E827" s="118"/>
      <c r="F827" s="118"/>
      <c r="G827" s="118"/>
      <c r="H827" s="118"/>
      <c r="I827" s="118"/>
      <c r="J827" s="118"/>
      <c r="K827" s="118"/>
      <c r="L827" s="118"/>
      <c r="M827" s="118"/>
      <c r="N827" s="118"/>
      <c r="O827" s="118"/>
      <c r="P827" s="118"/>
      <c r="Q827" s="118"/>
      <c r="R827" s="118"/>
      <c r="S827" s="118"/>
      <c r="T827" s="118"/>
      <c r="U827" s="118"/>
      <c r="V827" s="118"/>
      <c r="W827" s="118"/>
      <c r="X827" s="118"/>
      <c r="Y827" s="118"/>
      <c r="Z827" s="118"/>
    </row>
    <row r="828" spans="1:26" ht="14.25" customHeight="1">
      <c r="A828" s="118"/>
      <c r="B828" s="118"/>
      <c r="C828" s="118"/>
      <c r="D828" s="118"/>
      <c r="E828" s="118"/>
      <c r="F828" s="118"/>
      <c r="G828" s="118"/>
      <c r="H828" s="118"/>
      <c r="I828" s="118"/>
      <c r="J828" s="118"/>
      <c r="K828" s="118"/>
      <c r="L828" s="118"/>
      <c r="M828" s="118"/>
      <c r="N828" s="118"/>
      <c r="O828" s="118"/>
      <c r="P828" s="118"/>
      <c r="Q828" s="118"/>
      <c r="R828" s="118"/>
      <c r="S828" s="118"/>
      <c r="T828" s="118"/>
      <c r="U828" s="118"/>
      <c r="V828" s="118"/>
      <c r="W828" s="118"/>
      <c r="X828" s="118"/>
      <c r="Y828" s="118"/>
      <c r="Z828" s="118"/>
    </row>
    <row r="829" spans="1:26" ht="14.25" customHeight="1">
      <c r="A829" s="118"/>
      <c r="B829" s="118"/>
      <c r="C829" s="118"/>
      <c r="D829" s="118"/>
      <c r="E829" s="118"/>
      <c r="F829" s="118"/>
      <c r="G829" s="118"/>
      <c r="H829" s="118"/>
      <c r="I829" s="118"/>
      <c r="J829" s="118"/>
      <c r="K829" s="118"/>
      <c r="L829" s="118"/>
      <c r="M829" s="118"/>
      <c r="N829" s="118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  <c r="Y829" s="118"/>
      <c r="Z829" s="118"/>
    </row>
    <row r="830" spans="1:26" ht="14.25" customHeight="1">
      <c r="A830" s="118"/>
      <c r="B830" s="118"/>
      <c r="C830" s="118"/>
      <c r="D830" s="118"/>
      <c r="E830" s="118"/>
      <c r="F830" s="118"/>
      <c r="G830" s="118"/>
      <c r="H830" s="118"/>
      <c r="I830" s="118"/>
      <c r="J830" s="118"/>
      <c r="K830" s="118"/>
      <c r="L830" s="118"/>
      <c r="M830" s="118"/>
      <c r="N830" s="118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  <c r="Y830" s="118"/>
      <c r="Z830" s="118"/>
    </row>
    <row r="831" spans="1:26" ht="14.25" customHeight="1">
      <c r="A831" s="118"/>
      <c r="B831" s="118"/>
      <c r="C831" s="118"/>
      <c r="D831" s="118"/>
      <c r="E831" s="118"/>
      <c r="F831" s="118"/>
      <c r="G831" s="118"/>
      <c r="H831" s="118"/>
      <c r="I831" s="118"/>
      <c r="J831" s="118"/>
      <c r="K831" s="118"/>
      <c r="L831" s="118"/>
      <c r="M831" s="118"/>
      <c r="N831" s="118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  <c r="Y831" s="118"/>
      <c r="Z831" s="118"/>
    </row>
    <row r="832" spans="1:26" ht="14.25" customHeight="1">
      <c r="A832" s="118"/>
      <c r="B832" s="118"/>
      <c r="C832" s="118"/>
      <c r="D832" s="118"/>
      <c r="E832" s="118"/>
      <c r="F832" s="118"/>
      <c r="G832" s="118"/>
      <c r="H832" s="118"/>
      <c r="I832" s="118"/>
      <c r="J832" s="118"/>
      <c r="K832" s="118"/>
      <c r="L832" s="118"/>
      <c r="M832" s="118"/>
      <c r="N832" s="118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  <c r="Y832" s="118"/>
      <c r="Z832" s="118"/>
    </row>
    <row r="833" spans="1:26" ht="14.25" customHeight="1">
      <c r="A833" s="118"/>
      <c r="B833" s="118"/>
      <c r="C833" s="118"/>
      <c r="D833" s="118"/>
      <c r="E833" s="118"/>
      <c r="F833" s="118"/>
      <c r="G833" s="118"/>
      <c r="H833" s="118"/>
      <c r="I833" s="118"/>
      <c r="J833" s="118"/>
      <c r="K833" s="118"/>
      <c r="L833" s="118"/>
      <c r="M833" s="118"/>
      <c r="N833" s="118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  <c r="Y833" s="118"/>
      <c r="Z833" s="118"/>
    </row>
    <row r="834" spans="1:26" ht="14.25" customHeight="1">
      <c r="A834" s="118"/>
      <c r="B834" s="118"/>
      <c r="C834" s="118"/>
      <c r="D834" s="118"/>
      <c r="E834" s="118"/>
      <c r="F834" s="118"/>
      <c r="G834" s="118"/>
      <c r="H834" s="118"/>
      <c r="I834" s="118"/>
      <c r="J834" s="118"/>
      <c r="K834" s="118"/>
      <c r="L834" s="118"/>
      <c r="M834" s="118"/>
      <c r="N834" s="118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  <c r="Y834" s="118"/>
      <c r="Z834" s="118"/>
    </row>
    <row r="835" spans="1:26" ht="14.25" customHeight="1">
      <c r="A835" s="118"/>
      <c r="B835" s="118"/>
      <c r="C835" s="118"/>
      <c r="D835" s="118"/>
      <c r="E835" s="118"/>
      <c r="F835" s="118"/>
      <c r="G835" s="118"/>
      <c r="H835" s="118"/>
      <c r="I835" s="118"/>
      <c r="J835" s="118"/>
      <c r="K835" s="118"/>
      <c r="L835" s="118"/>
      <c r="M835" s="118"/>
      <c r="N835" s="118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  <c r="Y835" s="118"/>
      <c r="Z835" s="118"/>
    </row>
    <row r="836" spans="1:26" ht="14.25" customHeight="1">
      <c r="A836" s="118"/>
      <c r="B836" s="118"/>
      <c r="C836" s="118"/>
      <c r="D836" s="118"/>
      <c r="E836" s="118"/>
      <c r="F836" s="118"/>
      <c r="G836" s="118"/>
      <c r="H836" s="118"/>
      <c r="I836" s="118"/>
      <c r="J836" s="118"/>
      <c r="K836" s="118"/>
      <c r="L836" s="118"/>
      <c r="M836" s="118"/>
      <c r="N836" s="118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  <c r="Y836" s="118"/>
      <c r="Z836" s="118"/>
    </row>
    <row r="837" spans="1:26" ht="14.25" customHeight="1">
      <c r="A837" s="118"/>
      <c r="B837" s="118"/>
      <c r="C837" s="118"/>
      <c r="D837" s="118"/>
      <c r="E837" s="118"/>
      <c r="F837" s="118"/>
      <c r="G837" s="118"/>
      <c r="H837" s="118"/>
      <c r="I837" s="118"/>
      <c r="J837" s="118"/>
      <c r="K837" s="118"/>
      <c r="L837" s="118"/>
      <c r="M837" s="118"/>
      <c r="N837" s="118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  <c r="Y837" s="118"/>
      <c r="Z837" s="118"/>
    </row>
    <row r="838" spans="1:26" ht="14.25" customHeight="1">
      <c r="A838" s="118"/>
      <c r="B838" s="118"/>
      <c r="C838" s="118"/>
      <c r="D838" s="118"/>
      <c r="E838" s="118"/>
      <c r="F838" s="118"/>
      <c r="G838" s="118"/>
      <c r="H838" s="118"/>
      <c r="I838" s="118"/>
      <c r="J838" s="118"/>
      <c r="K838" s="118"/>
      <c r="L838" s="118"/>
      <c r="M838" s="118"/>
      <c r="N838" s="118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  <c r="Y838" s="118"/>
      <c r="Z838" s="118"/>
    </row>
    <row r="839" spans="1:26" ht="14.25" customHeight="1">
      <c r="A839" s="118"/>
      <c r="B839" s="118"/>
      <c r="C839" s="118"/>
      <c r="D839" s="118"/>
      <c r="E839" s="118"/>
      <c r="F839" s="118"/>
      <c r="G839" s="118"/>
      <c r="H839" s="118"/>
      <c r="I839" s="118"/>
      <c r="J839" s="118"/>
      <c r="K839" s="118"/>
      <c r="L839" s="118"/>
      <c r="M839" s="118"/>
      <c r="N839" s="118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  <c r="Y839" s="118"/>
      <c r="Z839" s="118"/>
    </row>
    <row r="840" spans="1:26" ht="14.25" customHeight="1">
      <c r="A840" s="118"/>
      <c r="B840" s="118"/>
      <c r="C840" s="118"/>
      <c r="D840" s="118"/>
      <c r="E840" s="118"/>
      <c r="F840" s="118"/>
      <c r="G840" s="118"/>
      <c r="H840" s="118"/>
      <c r="I840" s="118"/>
      <c r="J840" s="118"/>
      <c r="K840" s="118"/>
      <c r="L840" s="118"/>
      <c r="M840" s="118"/>
      <c r="N840" s="118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  <c r="Y840" s="118"/>
      <c r="Z840" s="118"/>
    </row>
    <row r="841" spans="1:26" ht="14.25" customHeight="1">
      <c r="A841" s="118"/>
      <c r="B841" s="118"/>
      <c r="C841" s="118"/>
      <c r="D841" s="118"/>
      <c r="E841" s="118"/>
      <c r="F841" s="118"/>
      <c r="G841" s="118"/>
      <c r="H841" s="118"/>
      <c r="I841" s="118"/>
      <c r="J841" s="118"/>
      <c r="K841" s="118"/>
      <c r="L841" s="118"/>
      <c r="M841" s="118"/>
      <c r="N841" s="118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  <c r="Y841" s="118"/>
      <c r="Z841" s="118"/>
    </row>
    <row r="842" spans="1:26" ht="14.25" customHeight="1">
      <c r="A842" s="118"/>
      <c r="B842" s="118"/>
      <c r="C842" s="118"/>
      <c r="D842" s="118"/>
      <c r="E842" s="118"/>
      <c r="F842" s="118"/>
      <c r="G842" s="118"/>
      <c r="H842" s="118"/>
      <c r="I842" s="118"/>
      <c r="J842" s="118"/>
      <c r="K842" s="118"/>
      <c r="L842" s="118"/>
      <c r="M842" s="118"/>
      <c r="N842" s="118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  <c r="Y842" s="118"/>
      <c r="Z842" s="118"/>
    </row>
    <row r="843" spans="1:26" ht="14.25" customHeight="1">
      <c r="A843" s="118"/>
      <c r="B843" s="118"/>
      <c r="C843" s="118"/>
      <c r="D843" s="118"/>
      <c r="E843" s="118"/>
      <c r="F843" s="118"/>
      <c r="G843" s="118"/>
      <c r="H843" s="118"/>
      <c r="I843" s="118"/>
      <c r="J843" s="118"/>
      <c r="K843" s="118"/>
      <c r="L843" s="118"/>
      <c r="M843" s="118"/>
      <c r="N843" s="118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  <c r="Y843" s="118"/>
      <c r="Z843" s="118"/>
    </row>
    <row r="844" spans="1:26" ht="14.25" customHeight="1">
      <c r="A844" s="118"/>
      <c r="B844" s="118"/>
      <c r="C844" s="118"/>
      <c r="D844" s="118"/>
      <c r="E844" s="118"/>
      <c r="F844" s="118"/>
      <c r="G844" s="118"/>
      <c r="H844" s="118"/>
      <c r="I844" s="118"/>
      <c r="J844" s="118"/>
      <c r="K844" s="118"/>
      <c r="L844" s="118"/>
      <c r="M844" s="118"/>
      <c r="N844" s="118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  <c r="Y844" s="118"/>
      <c r="Z844" s="118"/>
    </row>
    <row r="845" spans="1:26" ht="14.25" customHeight="1">
      <c r="A845" s="118"/>
      <c r="B845" s="118"/>
      <c r="C845" s="118"/>
      <c r="D845" s="118"/>
      <c r="E845" s="118"/>
      <c r="F845" s="118"/>
      <c r="G845" s="118"/>
      <c r="H845" s="118"/>
      <c r="I845" s="118"/>
      <c r="J845" s="118"/>
      <c r="K845" s="118"/>
      <c r="L845" s="118"/>
      <c r="M845" s="118"/>
      <c r="N845" s="118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  <c r="Y845" s="118"/>
      <c r="Z845" s="118"/>
    </row>
    <row r="846" spans="1:26" ht="14.25" customHeight="1">
      <c r="A846" s="118"/>
      <c r="B846" s="118"/>
      <c r="C846" s="118"/>
      <c r="D846" s="118"/>
      <c r="E846" s="118"/>
      <c r="F846" s="118"/>
      <c r="G846" s="118"/>
      <c r="H846" s="118"/>
      <c r="I846" s="118"/>
      <c r="J846" s="118"/>
      <c r="K846" s="118"/>
      <c r="L846" s="118"/>
      <c r="M846" s="118"/>
      <c r="N846" s="118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  <c r="Y846" s="118"/>
      <c r="Z846" s="118"/>
    </row>
    <row r="847" spans="1:26" ht="14.25" customHeight="1">
      <c r="A847" s="118"/>
      <c r="B847" s="118"/>
      <c r="C847" s="118"/>
      <c r="D847" s="118"/>
      <c r="E847" s="118"/>
      <c r="F847" s="118"/>
      <c r="G847" s="118"/>
      <c r="H847" s="118"/>
      <c r="I847" s="118"/>
      <c r="J847" s="118"/>
      <c r="K847" s="118"/>
      <c r="L847" s="118"/>
      <c r="M847" s="118"/>
      <c r="N847" s="118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  <c r="Y847" s="118"/>
      <c r="Z847" s="118"/>
    </row>
    <row r="848" spans="1:26" ht="14.25" customHeight="1">
      <c r="A848" s="118"/>
      <c r="B848" s="118"/>
      <c r="C848" s="118"/>
      <c r="D848" s="118"/>
      <c r="E848" s="118"/>
      <c r="F848" s="118"/>
      <c r="G848" s="118"/>
      <c r="H848" s="118"/>
      <c r="I848" s="118"/>
      <c r="J848" s="118"/>
      <c r="K848" s="118"/>
      <c r="L848" s="118"/>
      <c r="M848" s="118"/>
      <c r="N848" s="118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  <c r="Y848" s="118"/>
      <c r="Z848" s="118"/>
    </row>
    <row r="849" spans="1:26" ht="14.25" customHeight="1">
      <c r="A849" s="118"/>
      <c r="B849" s="118"/>
      <c r="C849" s="118"/>
      <c r="D849" s="118"/>
      <c r="E849" s="118"/>
      <c r="F849" s="118"/>
      <c r="G849" s="118"/>
      <c r="H849" s="118"/>
      <c r="I849" s="118"/>
      <c r="J849" s="118"/>
      <c r="K849" s="118"/>
      <c r="L849" s="118"/>
      <c r="M849" s="118"/>
      <c r="N849" s="118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  <c r="Y849" s="118"/>
      <c r="Z849" s="118"/>
    </row>
    <row r="850" spans="1:26" ht="14.25" customHeight="1">
      <c r="A850" s="118"/>
      <c r="B850" s="118"/>
      <c r="C850" s="118"/>
      <c r="D850" s="118"/>
      <c r="E850" s="118"/>
      <c r="F850" s="118"/>
      <c r="G850" s="118"/>
      <c r="H850" s="118"/>
      <c r="I850" s="118"/>
      <c r="J850" s="118"/>
      <c r="K850" s="118"/>
      <c r="L850" s="118"/>
      <c r="M850" s="118"/>
      <c r="N850" s="118"/>
      <c r="O850" s="118"/>
      <c r="P850" s="118"/>
      <c r="Q850" s="118"/>
      <c r="R850" s="118"/>
      <c r="S850" s="118"/>
      <c r="T850" s="118"/>
      <c r="U850" s="118"/>
      <c r="V850" s="118"/>
      <c r="W850" s="118"/>
      <c r="X850" s="118"/>
      <c r="Y850" s="118"/>
      <c r="Z850" s="118"/>
    </row>
    <row r="851" spans="1:26" ht="14.25" customHeight="1">
      <c r="A851" s="118"/>
      <c r="B851" s="118"/>
      <c r="C851" s="118"/>
      <c r="D851" s="118"/>
      <c r="E851" s="118"/>
      <c r="F851" s="118"/>
      <c r="G851" s="118"/>
      <c r="H851" s="118"/>
      <c r="I851" s="118"/>
      <c r="J851" s="118"/>
      <c r="K851" s="118"/>
      <c r="L851" s="118"/>
      <c r="M851" s="118"/>
      <c r="N851" s="118"/>
      <c r="O851" s="118"/>
      <c r="P851" s="118"/>
      <c r="Q851" s="118"/>
      <c r="R851" s="118"/>
      <c r="S851" s="118"/>
      <c r="T851" s="118"/>
      <c r="U851" s="118"/>
      <c r="V851" s="118"/>
      <c r="W851" s="118"/>
      <c r="X851" s="118"/>
      <c r="Y851" s="118"/>
      <c r="Z851" s="118"/>
    </row>
    <row r="852" spans="1:26" ht="14.25" customHeight="1">
      <c r="A852" s="118"/>
      <c r="B852" s="118"/>
      <c r="C852" s="118"/>
      <c r="D852" s="118"/>
      <c r="E852" s="118"/>
      <c r="F852" s="118"/>
      <c r="G852" s="118"/>
      <c r="H852" s="118"/>
      <c r="I852" s="118"/>
      <c r="J852" s="118"/>
      <c r="K852" s="118"/>
      <c r="L852" s="118"/>
      <c r="M852" s="118"/>
      <c r="N852" s="118"/>
      <c r="O852" s="118"/>
      <c r="P852" s="118"/>
      <c r="Q852" s="118"/>
      <c r="R852" s="118"/>
      <c r="S852" s="118"/>
      <c r="T852" s="118"/>
      <c r="U852" s="118"/>
      <c r="V852" s="118"/>
      <c r="W852" s="118"/>
      <c r="X852" s="118"/>
      <c r="Y852" s="118"/>
      <c r="Z852" s="118"/>
    </row>
    <row r="853" spans="1:26" ht="14.25" customHeight="1">
      <c r="A853" s="118"/>
      <c r="B853" s="118"/>
      <c r="C853" s="118"/>
      <c r="D853" s="118"/>
      <c r="E853" s="118"/>
      <c r="F853" s="118"/>
      <c r="G853" s="118"/>
      <c r="H853" s="118"/>
      <c r="I853" s="118"/>
      <c r="J853" s="118"/>
      <c r="K853" s="118"/>
      <c r="L853" s="118"/>
      <c r="M853" s="118"/>
      <c r="N853" s="118"/>
      <c r="O853" s="118"/>
      <c r="P853" s="118"/>
      <c r="Q853" s="118"/>
      <c r="R853" s="118"/>
      <c r="S853" s="118"/>
      <c r="T853" s="118"/>
      <c r="U853" s="118"/>
      <c r="V853" s="118"/>
      <c r="W853" s="118"/>
      <c r="X853" s="118"/>
      <c r="Y853" s="118"/>
      <c r="Z853" s="118"/>
    </row>
    <row r="854" spans="1:26" ht="14.25" customHeight="1">
      <c r="A854" s="118"/>
      <c r="B854" s="118"/>
      <c r="C854" s="118"/>
      <c r="D854" s="118"/>
      <c r="E854" s="118"/>
      <c r="F854" s="118"/>
      <c r="G854" s="118"/>
      <c r="H854" s="118"/>
      <c r="I854" s="118"/>
      <c r="J854" s="118"/>
      <c r="K854" s="118"/>
      <c r="L854" s="118"/>
      <c r="M854" s="118"/>
      <c r="N854" s="118"/>
      <c r="O854" s="118"/>
      <c r="P854" s="118"/>
      <c r="Q854" s="118"/>
      <c r="R854" s="118"/>
      <c r="S854" s="118"/>
      <c r="T854" s="118"/>
      <c r="U854" s="118"/>
      <c r="V854" s="118"/>
      <c r="W854" s="118"/>
      <c r="X854" s="118"/>
      <c r="Y854" s="118"/>
      <c r="Z854" s="118"/>
    </row>
    <row r="855" spans="1:26" ht="14.25" customHeight="1">
      <c r="A855" s="118"/>
      <c r="B855" s="118"/>
      <c r="C855" s="118"/>
      <c r="D855" s="118"/>
      <c r="E855" s="118"/>
      <c r="F855" s="118"/>
      <c r="G855" s="118"/>
      <c r="H855" s="118"/>
      <c r="I855" s="118"/>
      <c r="J855" s="118"/>
      <c r="K855" s="118"/>
      <c r="L855" s="118"/>
      <c r="M855" s="118"/>
      <c r="N855" s="118"/>
      <c r="O855" s="118"/>
      <c r="P855" s="118"/>
      <c r="Q855" s="118"/>
      <c r="R855" s="118"/>
      <c r="S855" s="118"/>
      <c r="T855" s="118"/>
      <c r="U855" s="118"/>
      <c r="V855" s="118"/>
      <c r="W855" s="118"/>
      <c r="X855" s="118"/>
      <c r="Y855" s="118"/>
      <c r="Z855" s="118"/>
    </row>
    <row r="856" spans="1:26" ht="14.25" customHeight="1">
      <c r="A856" s="118"/>
      <c r="B856" s="118"/>
      <c r="C856" s="118"/>
      <c r="D856" s="118"/>
      <c r="E856" s="118"/>
      <c r="F856" s="118"/>
      <c r="G856" s="118"/>
      <c r="H856" s="118"/>
      <c r="I856" s="118"/>
      <c r="J856" s="118"/>
      <c r="K856" s="118"/>
      <c r="L856" s="118"/>
      <c r="M856" s="118"/>
      <c r="N856" s="118"/>
      <c r="O856" s="118"/>
      <c r="P856" s="118"/>
      <c r="Q856" s="118"/>
      <c r="R856" s="118"/>
      <c r="S856" s="118"/>
      <c r="T856" s="118"/>
      <c r="U856" s="118"/>
      <c r="V856" s="118"/>
      <c r="W856" s="118"/>
      <c r="X856" s="118"/>
      <c r="Y856" s="118"/>
      <c r="Z856" s="118"/>
    </row>
    <row r="857" spans="1:26" ht="14.25" customHeight="1">
      <c r="A857" s="118"/>
      <c r="B857" s="118"/>
      <c r="C857" s="118"/>
      <c r="D857" s="118"/>
      <c r="E857" s="118"/>
      <c r="F857" s="118"/>
      <c r="G857" s="118"/>
      <c r="H857" s="118"/>
      <c r="I857" s="118"/>
      <c r="J857" s="118"/>
      <c r="K857" s="118"/>
      <c r="L857" s="118"/>
      <c r="M857" s="118"/>
      <c r="N857" s="118"/>
      <c r="O857" s="118"/>
      <c r="P857" s="118"/>
      <c r="Q857" s="118"/>
      <c r="R857" s="118"/>
      <c r="S857" s="118"/>
      <c r="T857" s="118"/>
      <c r="U857" s="118"/>
      <c r="V857" s="118"/>
      <c r="W857" s="118"/>
      <c r="X857" s="118"/>
      <c r="Y857" s="118"/>
      <c r="Z857" s="118"/>
    </row>
    <row r="858" spans="1:26" ht="14.25" customHeight="1">
      <c r="A858" s="118"/>
      <c r="B858" s="118"/>
      <c r="C858" s="118"/>
      <c r="D858" s="118"/>
      <c r="E858" s="118"/>
      <c r="F858" s="118"/>
      <c r="G858" s="118"/>
      <c r="H858" s="118"/>
      <c r="I858" s="118"/>
      <c r="J858" s="118"/>
      <c r="K858" s="118"/>
      <c r="L858" s="118"/>
      <c r="M858" s="118"/>
      <c r="N858" s="118"/>
      <c r="O858" s="118"/>
      <c r="P858" s="118"/>
      <c r="Q858" s="118"/>
      <c r="R858" s="118"/>
      <c r="S858" s="118"/>
      <c r="T858" s="118"/>
      <c r="U858" s="118"/>
      <c r="V858" s="118"/>
      <c r="W858" s="118"/>
      <c r="X858" s="118"/>
      <c r="Y858" s="118"/>
      <c r="Z858" s="118"/>
    </row>
    <row r="859" spans="1:26" ht="14.25" customHeight="1">
      <c r="A859" s="118"/>
      <c r="B859" s="118"/>
      <c r="C859" s="118"/>
      <c r="D859" s="118"/>
      <c r="E859" s="118"/>
      <c r="F859" s="118"/>
      <c r="G859" s="118"/>
      <c r="H859" s="118"/>
      <c r="I859" s="118"/>
      <c r="J859" s="118"/>
      <c r="K859" s="118"/>
      <c r="L859" s="118"/>
      <c r="M859" s="118"/>
      <c r="N859" s="118"/>
      <c r="O859" s="118"/>
      <c r="P859" s="118"/>
      <c r="Q859" s="118"/>
      <c r="R859" s="118"/>
      <c r="S859" s="118"/>
      <c r="T859" s="118"/>
      <c r="U859" s="118"/>
      <c r="V859" s="118"/>
      <c r="W859" s="118"/>
      <c r="X859" s="118"/>
      <c r="Y859" s="118"/>
      <c r="Z859" s="118"/>
    </row>
    <row r="860" spans="1:26" ht="14.25" customHeight="1">
      <c r="A860" s="118"/>
      <c r="B860" s="118"/>
      <c r="C860" s="118"/>
      <c r="D860" s="118"/>
      <c r="E860" s="118"/>
      <c r="F860" s="118"/>
      <c r="G860" s="118"/>
      <c r="H860" s="118"/>
      <c r="I860" s="118"/>
      <c r="J860" s="118"/>
      <c r="K860" s="118"/>
      <c r="L860" s="118"/>
      <c r="M860" s="118"/>
      <c r="N860" s="118"/>
      <c r="O860" s="118"/>
      <c r="P860" s="118"/>
      <c r="Q860" s="118"/>
      <c r="R860" s="118"/>
      <c r="S860" s="118"/>
      <c r="T860" s="118"/>
      <c r="U860" s="118"/>
      <c r="V860" s="118"/>
      <c r="W860" s="118"/>
      <c r="X860" s="118"/>
      <c r="Y860" s="118"/>
      <c r="Z860" s="118"/>
    </row>
    <row r="861" spans="1:26" ht="14.25" customHeight="1">
      <c r="A861" s="118"/>
      <c r="B861" s="118"/>
      <c r="C861" s="118"/>
      <c r="D861" s="118"/>
      <c r="E861" s="118"/>
      <c r="F861" s="118"/>
      <c r="G861" s="118"/>
      <c r="H861" s="118"/>
      <c r="I861" s="118"/>
      <c r="J861" s="118"/>
      <c r="K861" s="118"/>
      <c r="L861" s="118"/>
      <c r="M861" s="118"/>
      <c r="N861" s="118"/>
      <c r="O861" s="118"/>
      <c r="P861" s="118"/>
      <c r="Q861" s="118"/>
      <c r="R861" s="118"/>
      <c r="S861" s="118"/>
      <c r="T861" s="118"/>
      <c r="U861" s="118"/>
      <c r="V861" s="118"/>
      <c r="W861" s="118"/>
      <c r="X861" s="118"/>
      <c r="Y861" s="118"/>
      <c r="Z861" s="118"/>
    </row>
    <row r="862" spans="1:26" ht="14.25" customHeight="1">
      <c r="A862" s="118"/>
      <c r="B862" s="118"/>
      <c r="C862" s="118"/>
      <c r="D862" s="118"/>
      <c r="E862" s="118"/>
      <c r="F862" s="118"/>
      <c r="G862" s="118"/>
      <c r="H862" s="118"/>
      <c r="I862" s="118"/>
      <c r="J862" s="118"/>
      <c r="K862" s="118"/>
      <c r="L862" s="118"/>
      <c r="M862" s="118"/>
      <c r="N862" s="118"/>
      <c r="O862" s="118"/>
      <c r="P862" s="118"/>
      <c r="Q862" s="118"/>
      <c r="R862" s="118"/>
      <c r="S862" s="118"/>
      <c r="T862" s="118"/>
      <c r="U862" s="118"/>
      <c r="V862" s="118"/>
      <c r="W862" s="118"/>
      <c r="X862" s="118"/>
      <c r="Y862" s="118"/>
      <c r="Z862" s="118"/>
    </row>
    <row r="863" spans="1:26" ht="14.25" customHeight="1">
      <c r="A863" s="118"/>
      <c r="B863" s="118"/>
      <c r="C863" s="118"/>
      <c r="D863" s="118"/>
      <c r="E863" s="118"/>
      <c r="F863" s="118"/>
      <c r="G863" s="118"/>
      <c r="H863" s="118"/>
      <c r="I863" s="118"/>
      <c r="J863" s="118"/>
      <c r="K863" s="118"/>
      <c r="L863" s="118"/>
      <c r="M863" s="118"/>
      <c r="N863" s="118"/>
      <c r="O863" s="118"/>
      <c r="P863" s="118"/>
      <c r="Q863" s="118"/>
      <c r="R863" s="118"/>
      <c r="S863" s="118"/>
      <c r="T863" s="118"/>
      <c r="U863" s="118"/>
      <c r="V863" s="118"/>
      <c r="W863" s="118"/>
      <c r="X863" s="118"/>
      <c r="Y863" s="118"/>
      <c r="Z863" s="118"/>
    </row>
    <row r="864" spans="1:26" ht="14.25" customHeight="1">
      <c r="A864" s="118"/>
      <c r="B864" s="118"/>
      <c r="C864" s="118"/>
      <c r="D864" s="118"/>
      <c r="E864" s="118"/>
      <c r="F864" s="118"/>
      <c r="G864" s="118"/>
      <c r="H864" s="118"/>
      <c r="I864" s="118"/>
      <c r="J864" s="118"/>
      <c r="K864" s="118"/>
      <c r="L864" s="118"/>
      <c r="M864" s="118"/>
      <c r="N864" s="118"/>
      <c r="O864" s="118"/>
      <c r="P864" s="118"/>
      <c r="Q864" s="118"/>
      <c r="R864" s="118"/>
      <c r="S864" s="118"/>
      <c r="T864" s="118"/>
      <c r="U864" s="118"/>
      <c r="V864" s="118"/>
      <c r="W864" s="118"/>
      <c r="X864" s="118"/>
      <c r="Y864" s="118"/>
      <c r="Z864" s="118"/>
    </row>
    <row r="865" spans="1:26" ht="14.25" customHeight="1">
      <c r="A865" s="118"/>
      <c r="B865" s="118"/>
      <c r="C865" s="118"/>
      <c r="D865" s="118"/>
      <c r="E865" s="118"/>
      <c r="F865" s="118"/>
      <c r="G865" s="118"/>
      <c r="H865" s="118"/>
      <c r="I865" s="118"/>
      <c r="J865" s="118"/>
      <c r="K865" s="118"/>
      <c r="L865" s="118"/>
      <c r="M865" s="118"/>
      <c r="N865" s="118"/>
      <c r="O865" s="118"/>
      <c r="P865" s="118"/>
      <c r="Q865" s="118"/>
      <c r="R865" s="118"/>
      <c r="S865" s="118"/>
      <c r="T865" s="118"/>
      <c r="U865" s="118"/>
      <c r="V865" s="118"/>
      <c r="W865" s="118"/>
      <c r="X865" s="118"/>
      <c r="Y865" s="118"/>
      <c r="Z865" s="118"/>
    </row>
    <row r="866" spans="1:26" ht="14.25" customHeight="1">
      <c r="A866" s="118"/>
      <c r="B866" s="118"/>
      <c r="C866" s="118"/>
      <c r="D866" s="118"/>
      <c r="E866" s="118"/>
      <c r="F866" s="118"/>
      <c r="G866" s="118"/>
      <c r="H866" s="118"/>
      <c r="I866" s="118"/>
      <c r="J866" s="118"/>
      <c r="K866" s="118"/>
      <c r="L866" s="118"/>
      <c r="M866" s="118"/>
      <c r="N866" s="118"/>
      <c r="O866" s="118"/>
      <c r="P866" s="118"/>
      <c r="Q866" s="118"/>
      <c r="R866" s="118"/>
      <c r="S866" s="118"/>
      <c r="T866" s="118"/>
      <c r="U866" s="118"/>
      <c r="V866" s="118"/>
      <c r="W866" s="118"/>
      <c r="X866" s="118"/>
      <c r="Y866" s="118"/>
      <c r="Z866" s="118"/>
    </row>
    <row r="867" spans="1:26" ht="14.25" customHeight="1">
      <c r="A867" s="118"/>
      <c r="B867" s="118"/>
      <c r="C867" s="118"/>
      <c r="D867" s="118"/>
      <c r="E867" s="118"/>
      <c r="F867" s="118"/>
      <c r="G867" s="118"/>
      <c r="H867" s="118"/>
      <c r="I867" s="118"/>
      <c r="J867" s="118"/>
      <c r="K867" s="118"/>
      <c r="L867" s="118"/>
      <c r="M867" s="118"/>
      <c r="N867" s="118"/>
      <c r="O867" s="118"/>
      <c r="P867" s="118"/>
      <c r="Q867" s="118"/>
      <c r="R867" s="118"/>
      <c r="S867" s="118"/>
      <c r="T867" s="118"/>
      <c r="U867" s="118"/>
      <c r="V867" s="118"/>
      <c r="W867" s="118"/>
      <c r="X867" s="118"/>
      <c r="Y867" s="118"/>
      <c r="Z867" s="118"/>
    </row>
    <row r="868" spans="1:26" ht="14.25" customHeight="1">
      <c r="A868" s="118"/>
      <c r="B868" s="118"/>
      <c r="C868" s="118"/>
      <c r="D868" s="118"/>
      <c r="E868" s="118"/>
      <c r="F868" s="118"/>
      <c r="G868" s="118"/>
      <c r="H868" s="118"/>
      <c r="I868" s="118"/>
      <c r="J868" s="118"/>
      <c r="K868" s="118"/>
      <c r="L868" s="118"/>
      <c r="M868" s="118"/>
      <c r="N868" s="118"/>
      <c r="O868" s="118"/>
      <c r="P868" s="118"/>
      <c r="Q868" s="118"/>
      <c r="R868" s="118"/>
      <c r="S868" s="118"/>
      <c r="T868" s="118"/>
      <c r="U868" s="118"/>
      <c r="V868" s="118"/>
      <c r="W868" s="118"/>
      <c r="X868" s="118"/>
      <c r="Y868" s="118"/>
      <c r="Z868" s="118"/>
    </row>
    <row r="869" spans="1:26" ht="14.25" customHeight="1">
      <c r="A869" s="118"/>
      <c r="B869" s="118"/>
      <c r="C869" s="118"/>
      <c r="D869" s="118"/>
      <c r="E869" s="118"/>
      <c r="F869" s="118"/>
      <c r="G869" s="118"/>
      <c r="H869" s="118"/>
      <c r="I869" s="118"/>
      <c r="J869" s="118"/>
      <c r="K869" s="118"/>
      <c r="L869" s="118"/>
      <c r="M869" s="118"/>
      <c r="N869" s="118"/>
      <c r="O869" s="118"/>
      <c r="P869" s="118"/>
      <c r="Q869" s="118"/>
      <c r="R869" s="118"/>
      <c r="S869" s="118"/>
      <c r="T869" s="118"/>
      <c r="U869" s="118"/>
      <c r="V869" s="118"/>
      <c r="W869" s="118"/>
      <c r="X869" s="118"/>
      <c r="Y869" s="118"/>
      <c r="Z869" s="118"/>
    </row>
    <row r="870" spans="1:26" ht="14.25" customHeight="1">
      <c r="A870" s="118"/>
      <c r="B870" s="118"/>
      <c r="C870" s="118"/>
      <c r="D870" s="118"/>
      <c r="E870" s="118"/>
      <c r="F870" s="118"/>
      <c r="G870" s="118"/>
      <c r="H870" s="118"/>
      <c r="I870" s="118"/>
      <c r="J870" s="118"/>
      <c r="K870" s="118"/>
      <c r="L870" s="118"/>
      <c r="M870" s="118"/>
      <c r="N870" s="118"/>
      <c r="O870" s="118"/>
      <c r="P870" s="118"/>
      <c r="Q870" s="118"/>
      <c r="R870" s="118"/>
      <c r="S870" s="118"/>
      <c r="T870" s="118"/>
      <c r="U870" s="118"/>
      <c r="V870" s="118"/>
      <c r="W870" s="118"/>
      <c r="X870" s="118"/>
      <c r="Y870" s="118"/>
      <c r="Z870" s="118"/>
    </row>
    <row r="871" spans="1:26" ht="14.25" customHeight="1">
      <c r="A871" s="118"/>
      <c r="B871" s="118"/>
      <c r="C871" s="118"/>
      <c r="D871" s="118"/>
      <c r="E871" s="118"/>
      <c r="F871" s="118"/>
      <c r="G871" s="118"/>
      <c r="H871" s="118"/>
      <c r="I871" s="118"/>
      <c r="J871" s="118"/>
      <c r="K871" s="118"/>
      <c r="L871" s="118"/>
      <c r="M871" s="118"/>
      <c r="N871" s="118"/>
      <c r="O871" s="118"/>
      <c r="P871" s="118"/>
      <c r="Q871" s="118"/>
      <c r="R871" s="118"/>
      <c r="S871" s="118"/>
      <c r="T871" s="118"/>
      <c r="U871" s="118"/>
      <c r="V871" s="118"/>
      <c r="W871" s="118"/>
      <c r="X871" s="118"/>
      <c r="Y871" s="118"/>
      <c r="Z871" s="118"/>
    </row>
    <row r="872" spans="1:26" ht="14.25" customHeight="1">
      <c r="A872" s="118"/>
      <c r="B872" s="118"/>
      <c r="C872" s="118"/>
      <c r="D872" s="118"/>
      <c r="E872" s="118"/>
      <c r="F872" s="118"/>
      <c r="G872" s="118"/>
      <c r="H872" s="118"/>
      <c r="I872" s="118"/>
      <c r="J872" s="118"/>
      <c r="K872" s="118"/>
      <c r="L872" s="118"/>
      <c r="M872" s="118"/>
      <c r="N872" s="118"/>
      <c r="O872" s="118"/>
      <c r="P872" s="118"/>
      <c r="Q872" s="118"/>
      <c r="R872" s="118"/>
      <c r="S872" s="118"/>
      <c r="T872" s="118"/>
      <c r="U872" s="118"/>
      <c r="V872" s="118"/>
      <c r="W872" s="118"/>
      <c r="X872" s="118"/>
      <c r="Y872" s="118"/>
      <c r="Z872" s="118"/>
    </row>
    <row r="873" spans="1:26" ht="14.25" customHeight="1">
      <c r="A873" s="118"/>
      <c r="B873" s="118"/>
      <c r="C873" s="118"/>
      <c r="D873" s="118"/>
      <c r="E873" s="118"/>
      <c r="F873" s="118"/>
      <c r="G873" s="118"/>
      <c r="H873" s="118"/>
      <c r="I873" s="118"/>
      <c r="J873" s="118"/>
      <c r="K873" s="118"/>
      <c r="L873" s="118"/>
      <c r="M873" s="118"/>
      <c r="N873" s="118"/>
      <c r="O873" s="118"/>
      <c r="P873" s="118"/>
      <c r="Q873" s="118"/>
      <c r="R873" s="118"/>
      <c r="S873" s="118"/>
      <c r="T873" s="118"/>
      <c r="U873" s="118"/>
      <c r="V873" s="118"/>
      <c r="W873" s="118"/>
      <c r="X873" s="118"/>
      <c r="Y873" s="118"/>
      <c r="Z873" s="118"/>
    </row>
    <row r="874" spans="1:26" ht="14.25" customHeight="1">
      <c r="A874" s="118"/>
      <c r="B874" s="118"/>
      <c r="C874" s="118"/>
      <c r="D874" s="118"/>
      <c r="E874" s="118"/>
      <c r="F874" s="118"/>
      <c r="G874" s="118"/>
      <c r="H874" s="118"/>
      <c r="I874" s="118"/>
      <c r="J874" s="118"/>
      <c r="K874" s="118"/>
      <c r="L874" s="118"/>
      <c r="M874" s="118"/>
      <c r="N874" s="118"/>
      <c r="O874" s="118"/>
      <c r="P874" s="118"/>
      <c r="Q874" s="118"/>
      <c r="R874" s="118"/>
      <c r="S874" s="118"/>
      <c r="T874" s="118"/>
      <c r="U874" s="118"/>
      <c r="V874" s="118"/>
      <c r="W874" s="118"/>
      <c r="X874" s="118"/>
      <c r="Y874" s="118"/>
      <c r="Z874" s="118"/>
    </row>
    <row r="875" spans="1:26" ht="14.25" customHeight="1">
      <c r="A875" s="118"/>
      <c r="B875" s="118"/>
      <c r="C875" s="118"/>
      <c r="D875" s="118"/>
      <c r="E875" s="118"/>
      <c r="F875" s="118"/>
      <c r="G875" s="118"/>
      <c r="H875" s="118"/>
      <c r="I875" s="118"/>
      <c r="J875" s="118"/>
      <c r="K875" s="118"/>
      <c r="L875" s="118"/>
      <c r="M875" s="118"/>
      <c r="N875" s="118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  <c r="Y875" s="118"/>
      <c r="Z875" s="118"/>
    </row>
    <row r="876" spans="1:26" ht="14.25" customHeight="1">
      <c r="A876" s="118"/>
      <c r="B876" s="118"/>
      <c r="C876" s="118"/>
      <c r="D876" s="118"/>
      <c r="E876" s="118"/>
      <c r="F876" s="118"/>
      <c r="G876" s="118"/>
      <c r="H876" s="118"/>
      <c r="I876" s="118"/>
      <c r="J876" s="118"/>
      <c r="K876" s="118"/>
      <c r="L876" s="118"/>
      <c r="M876" s="118"/>
      <c r="N876" s="118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  <c r="Y876" s="118"/>
      <c r="Z876" s="118"/>
    </row>
    <row r="877" spans="1:26" ht="14.25" customHeight="1">
      <c r="A877" s="118"/>
      <c r="B877" s="118"/>
      <c r="C877" s="118"/>
      <c r="D877" s="118"/>
      <c r="E877" s="118"/>
      <c r="F877" s="118"/>
      <c r="G877" s="118"/>
      <c r="H877" s="118"/>
      <c r="I877" s="118"/>
      <c r="J877" s="118"/>
      <c r="K877" s="118"/>
      <c r="L877" s="118"/>
      <c r="M877" s="118"/>
      <c r="N877" s="118"/>
      <c r="O877" s="118"/>
      <c r="P877" s="118"/>
      <c r="Q877" s="118"/>
      <c r="R877" s="118"/>
      <c r="S877" s="118"/>
      <c r="T877" s="118"/>
      <c r="U877" s="118"/>
      <c r="V877" s="118"/>
      <c r="W877" s="118"/>
      <c r="X877" s="118"/>
      <c r="Y877" s="118"/>
      <c r="Z877" s="118"/>
    </row>
    <row r="878" spans="1:26" ht="14.25" customHeight="1">
      <c r="A878" s="118"/>
      <c r="B878" s="118"/>
      <c r="C878" s="118"/>
      <c r="D878" s="118"/>
      <c r="E878" s="118"/>
      <c r="F878" s="118"/>
      <c r="G878" s="118"/>
      <c r="H878" s="118"/>
      <c r="I878" s="118"/>
      <c r="J878" s="118"/>
      <c r="K878" s="118"/>
      <c r="L878" s="118"/>
      <c r="M878" s="118"/>
      <c r="N878" s="118"/>
      <c r="O878" s="118"/>
      <c r="P878" s="118"/>
      <c r="Q878" s="118"/>
      <c r="R878" s="118"/>
      <c r="S878" s="118"/>
      <c r="T878" s="118"/>
      <c r="U878" s="118"/>
      <c r="V878" s="118"/>
      <c r="W878" s="118"/>
      <c r="X878" s="118"/>
      <c r="Y878" s="118"/>
      <c r="Z878" s="118"/>
    </row>
    <row r="879" spans="1:26" ht="14.25" customHeight="1">
      <c r="A879" s="118"/>
      <c r="B879" s="118"/>
      <c r="C879" s="118"/>
      <c r="D879" s="118"/>
      <c r="E879" s="118"/>
      <c r="F879" s="118"/>
      <c r="G879" s="118"/>
      <c r="H879" s="118"/>
      <c r="I879" s="118"/>
      <c r="J879" s="118"/>
      <c r="K879" s="118"/>
      <c r="L879" s="118"/>
      <c r="M879" s="118"/>
      <c r="N879" s="118"/>
      <c r="O879" s="118"/>
      <c r="P879" s="118"/>
      <c r="Q879" s="118"/>
      <c r="R879" s="118"/>
      <c r="S879" s="118"/>
      <c r="T879" s="118"/>
      <c r="U879" s="118"/>
      <c r="V879" s="118"/>
      <c r="W879" s="118"/>
      <c r="X879" s="118"/>
      <c r="Y879" s="118"/>
      <c r="Z879" s="118"/>
    </row>
    <row r="880" spans="1:26" ht="14.25" customHeight="1">
      <c r="A880" s="118"/>
      <c r="B880" s="118"/>
      <c r="C880" s="118"/>
      <c r="D880" s="118"/>
      <c r="E880" s="118"/>
      <c r="F880" s="118"/>
      <c r="G880" s="118"/>
      <c r="H880" s="118"/>
      <c r="I880" s="118"/>
      <c r="J880" s="118"/>
      <c r="K880" s="118"/>
      <c r="L880" s="118"/>
      <c r="M880" s="118"/>
      <c r="N880" s="118"/>
      <c r="O880" s="118"/>
      <c r="P880" s="118"/>
      <c r="Q880" s="118"/>
      <c r="R880" s="118"/>
      <c r="S880" s="118"/>
      <c r="T880" s="118"/>
      <c r="U880" s="118"/>
      <c r="V880" s="118"/>
      <c r="W880" s="118"/>
      <c r="X880" s="118"/>
      <c r="Y880" s="118"/>
      <c r="Z880" s="118"/>
    </row>
    <row r="881" spans="1:26" ht="14.25" customHeight="1">
      <c r="A881" s="118"/>
      <c r="B881" s="118"/>
      <c r="C881" s="118"/>
      <c r="D881" s="118"/>
      <c r="E881" s="118"/>
      <c r="F881" s="118"/>
      <c r="G881" s="118"/>
      <c r="H881" s="118"/>
      <c r="I881" s="118"/>
      <c r="J881" s="118"/>
      <c r="K881" s="118"/>
      <c r="L881" s="118"/>
      <c r="M881" s="118"/>
      <c r="N881" s="118"/>
      <c r="O881" s="118"/>
      <c r="P881" s="118"/>
      <c r="Q881" s="118"/>
      <c r="R881" s="118"/>
      <c r="S881" s="118"/>
      <c r="T881" s="118"/>
      <c r="U881" s="118"/>
      <c r="V881" s="118"/>
      <c r="W881" s="118"/>
      <c r="X881" s="118"/>
      <c r="Y881" s="118"/>
      <c r="Z881" s="118"/>
    </row>
    <row r="882" spans="1:26" ht="14.25" customHeight="1">
      <c r="A882" s="118"/>
      <c r="B882" s="118"/>
      <c r="C882" s="118"/>
      <c r="D882" s="118"/>
      <c r="E882" s="118"/>
      <c r="F882" s="118"/>
      <c r="G882" s="118"/>
      <c r="H882" s="118"/>
      <c r="I882" s="118"/>
      <c r="J882" s="118"/>
      <c r="K882" s="118"/>
      <c r="L882" s="118"/>
      <c r="M882" s="118"/>
      <c r="N882" s="118"/>
      <c r="O882" s="118"/>
      <c r="P882" s="118"/>
      <c r="Q882" s="118"/>
      <c r="R882" s="118"/>
      <c r="S882" s="118"/>
      <c r="T882" s="118"/>
      <c r="U882" s="118"/>
      <c r="V882" s="118"/>
      <c r="W882" s="118"/>
      <c r="X882" s="118"/>
      <c r="Y882" s="118"/>
      <c r="Z882" s="118"/>
    </row>
    <row r="883" spans="1:26" ht="14.25" customHeight="1">
      <c r="A883" s="118"/>
      <c r="B883" s="118"/>
      <c r="C883" s="118"/>
      <c r="D883" s="118"/>
      <c r="E883" s="118"/>
      <c r="F883" s="118"/>
      <c r="G883" s="118"/>
      <c r="H883" s="118"/>
      <c r="I883" s="118"/>
      <c r="J883" s="118"/>
      <c r="K883" s="118"/>
      <c r="L883" s="118"/>
      <c r="M883" s="118"/>
      <c r="N883" s="118"/>
      <c r="O883" s="118"/>
      <c r="P883" s="118"/>
      <c r="Q883" s="118"/>
      <c r="R883" s="118"/>
      <c r="S883" s="118"/>
      <c r="T883" s="118"/>
      <c r="U883" s="118"/>
      <c r="V883" s="118"/>
      <c r="W883" s="118"/>
      <c r="X883" s="118"/>
      <c r="Y883" s="118"/>
      <c r="Z883" s="118"/>
    </row>
    <row r="884" spans="1:26" ht="14.25" customHeight="1">
      <c r="A884" s="118"/>
      <c r="B884" s="118"/>
      <c r="C884" s="118"/>
      <c r="D884" s="118"/>
      <c r="E884" s="118"/>
      <c r="F884" s="118"/>
      <c r="G884" s="118"/>
      <c r="H884" s="118"/>
      <c r="I884" s="118"/>
      <c r="J884" s="118"/>
      <c r="K884" s="118"/>
      <c r="L884" s="118"/>
      <c r="M884" s="118"/>
      <c r="N884" s="118"/>
      <c r="O884" s="118"/>
      <c r="P884" s="118"/>
      <c r="Q884" s="118"/>
      <c r="R884" s="118"/>
      <c r="S884" s="118"/>
      <c r="T884" s="118"/>
      <c r="U884" s="118"/>
      <c r="V884" s="118"/>
      <c r="W884" s="118"/>
      <c r="X884" s="118"/>
      <c r="Y884" s="118"/>
      <c r="Z884" s="118"/>
    </row>
    <row r="885" spans="1:26" ht="14.25" customHeight="1">
      <c r="A885" s="118"/>
      <c r="B885" s="118"/>
      <c r="C885" s="118"/>
      <c r="D885" s="118"/>
      <c r="E885" s="118"/>
      <c r="F885" s="118"/>
      <c r="G885" s="118"/>
      <c r="H885" s="118"/>
      <c r="I885" s="118"/>
      <c r="J885" s="118"/>
      <c r="K885" s="118"/>
      <c r="L885" s="118"/>
      <c r="M885" s="118"/>
      <c r="N885" s="118"/>
      <c r="O885" s="118"/>
      <c r="P885" s="118"/>
      <c r="Q885" s="118"/>
      <c r="R885" s="118"/>
      <c r="S885" s="118"/>
      <c r="T885" s="118"/>
      <c r="U885" s="118"/>
      <c r="V885" s="118"/>
      <c r="W885" s="118"/>
      <c r="X885" s="118"/>
      <c r="Y885" s="118"/>
      <c r="Z885" s="118"/>
    </row>
    <row r="886" spans="1:26" ht="14.25" customHeight="1">
      <c r="A886" s="118"/>
      <c r="B886" s="118"/>
      <c r="C886" s="118"/>
      <c r="D886" s="118"/>
      <c r="E886" s="118"/>
      <c r="F886" s="118"/>
      <c r="G886" s="118"/>
      <c r="H886" s="118"/>
      <c r="I886" s="118"/>
      <c r="J886" s="118"/>
      <c r="K886" s="118"/>
      <c r="L886" s="118"/>
      <c r="M886" s="118"/>
      <c r="N886" s="118"/>
      <c r="O886" s="118"/>
      <c r="P886" s="118"/>
      <c r="Q886" s="118"/>
      <c r="R886" s="118"/>
      <c r="S886" s="118"/>
      <c r="T886" s="118"/>
      <c r="U886" s="118"/>
      <c r="V886" s="118"/>
      <c r="W886" s="118"/>
      <c r="X886" s="118"/>
      <c r="Y886" s="118"/>
      <c r="Z886" s="118"/>
    </row>
    <row r="887" spans="1:26" ht="14.25" customHeight="1">
      <c r="A887" s="118"/>
      <c r="B887" s="118"/>
      <c r="C887" s="118"/>
      <c r="D887" s="118"/>
      <c r="E887" s="118"/>
      <c r="F887" s="118"/>
      <c r="G887" s="118"/>
      <c r="H887" s="118"/>
      <c r="I887" s="118"/>
      <c r="J887" s="118"/>
      <c r="K887" s="118"/>
      <c r="L887" s="118"/>
      <c r="M887" s="118"/>
      <c r="N887" s="118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  <c r="Y887" s="118"/>
      <c r="Z887" s="118"/>
    </row>
    <row r="888" spans="1:26" ht="14.25" customHeight="1">
      <c r="A888" s="118"/>
      <c r="B888" s="118"/>
      <c r="C888" s="118"/>
      <c r="D888" s="118"/>
      <c r="E888" s="118"/>
      <c r="F888" s="118"/>
      <c r="G888" s="118"/>
      <c r="H888" s="118"/>
      <c r="I888" s="118"/>
      <c r="J888" s="118"/>
      <c r="K888" s="118"/>
      <c r="L888" s="118"/>
      <c r="M888" s="118"/>
      <c r="N888" s="118"/>
      <c r="O888" s="118"/>
      <c r="P888" s="118"/>
      <c r="Q888" s="118"/>
      <c r="R888" s="118"/>
      <c r="S888" s="118"/>
      <c r="T888" s="118"/>
      <c r="U888" s="118"/>
      <c r="V888" s="118"/>
      <c r="W888" s="118"/>
      <c r="X888" s="118"/>
      <c r="Y888" s="118"/>
      <c r="Z888" s="118"/>
    </row>
    <row r="889" spans="1:26" ht="14.25" customHeight="1">
      <c r="A889" s="118"/>
      <c r="B889" s="118"/>
      <c r="C889" s="118"/>
      <c r="D889" s="118"/>
      <c r="E889" s="118"/>
      <c r="F889" s="118"/>
      <c r="G889" s="118"/>
      <c r="H889" s="118"/>
      <c r="I889" s="118"/>
      <c r="J889" s="118"/>
      <c r="K889" s="118"/>
      <c r="L889" s="118"/>
      <c r="M889" s="118"/>
      <c r="N889" s="118"/>
      <c r="O889" s="118"/>
      <c r="P889" s="118"/>
      <c r="Q889" s="118"/>
      <c r="R889" s="118"/>
      <c r="S889" s="118"/>
      <c r="T889" s="118"/>
      <c r="U889" s="118"/>
      <c r="V889" s="118"/>
      <c r="W889" s="118"/>
      <c r="X889" s="118"/>
      <c r="Y889" s="118"/>
      <c r="Z889" s="118"/>
    </row>
    <row r="890" spans="1:26" ht="14.25" customHeight="1">
      <c r="A890" s="118"/>
      <c r="B890" s="118"/>
      <c r="C890" s="118"/>
      <c r="D890" s="118"/>
      <c r="E890" s="118"/>
      <c r="F890" s="118"/>
      <c r="G890" s="118"/>
      <c r="H890" s="118"/>
      <c r="I890" s="118"/>
      <c r="J890" s="118"/>
      <c r="K890" s="118"/>
      <c r="L890" s="118"/>
      <c r="M890" s="118"/>
      <c r="N890" s="118"/>
      <c r="O890" s="118"/>
      <c r="P890" s="118"/>
      <c r="Q890" s="118"/>
      <c r="R890" s="118"/>
      <c r="S890" s="118"/>
      <c r="T890" s="118"/>
      <c r="U890" s="118"/>
      <c r="V890" s="118"/>
      <c r="W890" s="118"/>
      <c r="X890" s="118"/>
      <c r="Y890" s="118"/>
      <c r="Z890" s="118"/>
    </row>
    <row r="891" spans="1:26" ht="14.25" customHeight="1">
      <c r="A891" s="118"/>
      <c r="B891" s="118"/>
      <c r="C891" s="118"/>
      <c r="D891" s="118"/>
      <c r="E891" s="118"/>
      <c r="F891" s="118"/>
      <c r="G891" s="118"/>
      <c r="H891" s="118"/>
      <c r="I891" s="118"/>
      <c r="J891" s="118"/>
      <c r="K891" s="118"/>
      <c r="L891" s="118"/>
      <c r="M891" s="118"/>
      <c r="N891" s="118"/>
      <c r="O891" s="118"/>
      <c r="P891" s="118"/>
      <c r="Q891" s="118"/>
      <c r="R891" s="118"/>
      <c r="S891" s="118"/>
      <c r="T891" s="118"/>
      <c r="U891" s="118"/>
      <c r="V891" s="118"/>
      <c r="W891" s="118"/>
      <c r="X891" s="118"/>
      <c r="Y891" s="118"/>
      <c r="Z891" s="118"/>
    </row>
    <row r="892" spans="1:26" ht="14.25" customHeight="1">
      <c r="A892" s="118"/>
      <c r="B892" s="118"/>
      <c r="C892" s="118"/>
      <c r="D892" s="118"/>
      <c r="E892" s="118"/>
      <c r="F892" s="118"/>
      <c r="G892" s="118"/>
      <c r="H892" s="118"/>
      <c r="I892" s="118"/>
      <c r="J892" s="118"/>
      <c r="K892" s="118"/>
      <c r="L892" s="118"/>
      <c r="M892" s="118"/>
      <c r="N892" s="118"/>
      <c r="O892" s="118"/>
      <c r="P892" s="118"/>
      <c r="Q892" s="118"/>
      <c r="R892" s="118"/>
      <c r="S892" s="118"/>
      <c r="T892" s="118"/>
      <c r="U892" s="118"/>
      <c r="V892" s="118"/>
      <c r="W892" s="118"/>
      <c r="X892" s="118"/>
      <c r="Y892" s="118"/>
      <c r="Z892" s="118"/>
    </row>
    <row r="893" spans="1:26" ht="14.25" customHeight="1">
      <c r="A893" s="118"/>
      <c r="B893" s="118"/>
      <c r="C893" s="118"/>
      <c r="D893" s="118"/>
      <c r="E893" s="118"/>
      <c r="F893" s="118"/>
      <c r="G893" s="118"/>
      <c r="H893" s="118"/>
      <c r="I893" s="118"/>
      <c r="J893" s="118"/>
      <c r="K893" s="118"/>
      <c r="L893" s="118"/>
      <c r="M893" s="118"/>
      <c r="N893" s="118"/>
      <c r="O893" s="118"/>
      <c r="P893" s="118"/>
      <c r="Q893" s="118"/>
      <c r="R893" s="118"/>
      <c r="S893" s="118"/>
      <c r="T893" s="118"/>
      <c r="U893" s="118"/>
      <c r="V893" s="118"/>
      <c r="W893" s="118"/>
      <c r="X893" s="118"/>
      <c r="Y893" s="118"/>
      <c r="Z893" s="118"/>
    </row>
    <row r="894" spans="1:26" ht="14.25" customHeight="1">
      <c r="A894" s="118"/>
      <c r="B894" s="118"/>
      <c r="C894" s="118"/>
      <c r="D894" s="118"/>
      <c r="E894" s="118"/>
      <c r="F894" s="118"/>
      <c r="G894" s="118"/>
      <c r="H894" s="118"/>
      <c r="I894" s="118"/>
      <c r="J894" s="118"/>
      <c r="K894" s="118"/>
      <c r="L894" s="118"/>
      <c r="M894" s="118"/>
      <c r="N894" s="118"/>
      <c r="O894" s="118"/>
      <c r="P894" s="118"/>
      <c r="Q894" s="118"/>
      <c r="R894" s="118"/>
      <c r="S894" s="118"/>
      <c r="T894" s="118"/>
      <c r="U894" s="118"/>
      <c r="V894" s="118"/>
      <c r="W894" s="118"/>
      <c r="X894" s="118"/>
      <c r="Y894" s="118"/>
      <c r="Z894" s="118"/>
    </row>
    <row r="895" spans="1:26" ht="14.25" customHeight="1">
      <c r="A895" s="118"/>
      <c r="B895" s="118"/>
      <c r="C895" s="118"/>
      <c r="D895" s="118"/>
      <c r="E895" s="118"/>
      <c r="F895" s="118"/>
      <c r="G895" s="118"/>
      <c r="H895" s="118"/>
      <c r="I895" s="118"/>
      <c r="J895" s="118"/>
      <c r="K895" s="118"/>
      <c r="L895" s="118"/>
      <c r="M895" s="118"/>
      <c r="N895" s="118"/>
      <c r="O895" s="118"/>
      <c r="P895" s="118"/>
      <c r="Q895" s="118"/>
      <c r="R895" s="118"/>
      <c r="S895" s="118"/>
      <c r="T895" s="118"/>
      <c r="U895" s="118"/>
      <c r="V895" s="118"/>
      <c r="W895" s="118"/>
      <c r="X895" s="118"/>
      <c r="Y895" s="118"/>
      <c r="Z895" s="118"/>
    </row>
    <row r="896" spans="1:26" ht="14.25" customHeight="1">
      <c r="A896" s="118"/>
      <c r="B896" s="118"/>
      <c r="C896" s="118"/>
      <c r="D896" s="118"/>
      <c r="E896" s="118"/>
      <c r="F896" s="118"/>
      <c r="G896" s="118"/>
      <c r="H896" s="118"/>
      <c r="I896" s="118"/>
      <c r="J896" s="118"/>
      <c r="K896" s="118"/>
      <c r="L896" s="118"/>
      <c r="M896" s="118"/>
      <c r="N896" s="118"/>
      <c r="O896" s="118"/>
      <c r="P896" s="118"/>
      <c r="Q896" s="118"/>
      <c r="R896" s="118"/>
      <c r="S896" s="118"/>
      <c r="T896" s="118"/>
      <c r="U896" s="118"/>
      <c r="V896" s="118"/>
      <c r="W896" s="118"/>
      <c r="X896" s="118"/>
      <c r="Y896" s="118"/>
      <c r="Z896" s="118"/>
    </row>
    <row r="897" spans="1:26" ht="14.25" customHeight="1">
      <c r="A897" s="118"/>
      <c r="B897" s="118"/>
      <c r="C897" s="118"/>
      <c r="D897" s="118"/>
      <c r="E897" s="118"/>
      <c r="F897" s="118"/>
      <c r="G897" s="118"/>
      <c r="H897" s="118"/>
      <c r="I897" s="118"/>
      <c r="J897" s="118"/>
      <c r="K897" s="118"/>
      <c r="L897" s="118"/>
      <c r="M897" s="118"/>
      <c r="N897" s="118"/>
      <c r="O897" s="118"/>
      <c r="P897" s="118"/>
      <c r="Q897" s="118"/>
      <c r="R897" s="118"/>
      <c r="S897" s="118"/>
      <c r="T897" s="118"/>
      <c r="U897" s="118"/>
      <c r="V897" s="118"/>
      <c r="W897" s="118"/>
      <c r="X897" s="118"/>
      <c r="Y897" s="118"/>
      <c r="Z897" s="118"/>
    </row>
    <row r="898" spans="1:26" ht="14.25" customHeight="1">
      <c r="A898" s="118"/>
      <c r="B898" s="118"/>
      <c r="C898" s="118"/>
      <c r="D898" s="118"/>
      <c r="E898" s="118"/>
      <c r="F898" s="118"/>
      <c r="G898" s="118"/>
      <c r="H898" s="118"/>
      <c r="I898" s="118"/>
      <c r="J898" s="118"/>
      <c r="K898" s="118"/>
      <c r="L898" s="118"/>
      <c r="M898" s="118"/>
      <c r="N898" s="118"/>
      <c r="O898" s="118"/>
      <c r="P898" s="118"/>
      <c r="Q898" s="118"/>
      <c r="R898" s="118"/>
      <c r="S898" s="118"/>
      <c r="T898" s="118"/>
      <c r="U898" s="118"/>
      <c r="V898" s="118"/>
      <c r="W898" s="118"/>
      <c r="X898" s="118"/>
      <c r="Y898" s="118"/>
      <c r="Z898" s="118"/>
    </row>
    <row r="899" spans="1:26" ht="14.25" customHeight="1">
      <c r="A899" s="118"/>
      <c r="B899" s="118"/>
      <c r="C899" s="118"/>
      <c r="D899" s="118"/>
      <c r="E899" s="118"/>
      <c r="F899" s="118"/>
      <c r="G899" s="118"/>
      <c r="H899" s="118"/>
      <c r="I899" s="118"/>
      <c r="J899" s="118"/>
      <c r="K899" s="118"/>
      <c r="L899" s="118"/>
      <c r="M899" s="118"/>
      <c r="N899" s="118"/>
      <c r="O899" s="118"/>
      <c r="P899" s="118"/>
      <c r="Q899" s="118"/>
      <c r="R899" s="118"/>
      <c r="S899" s="118"/>
      <c r="T899" s="118"/>
      <c r="U899" s="118"/>
      <c r="V899" s="118"/>
      <c r="W899" s="118"/>
      <c r="X899" s="118"/>
      <c r="Y899" s="118"/>
      <c r="Z899" s="118"/>
    </row>
    <row r="900" spans="1:26" ht="14.25" customHeight="1">
      <c r="A900" s="118"/>
      <c r="B900" s="118"/>
      <c r="C900" s="118"/>
      <c r="D900" s="118"/>
      <c r="E900" s="118"/>
      <c r="F900" s="118"/>
      <c r="G900" s="118"/>
      <c r="H900" s="118"/>
      <c r="I900" s="118"/>
      <c r="J900" s="118"/>
      <c r="K900" s="118"/>
      <c r="L900" s="118"/>
      <c r="M900" s="118"/>
      <c r="N900" s="118"/>
      <c r="O900" s="118"/>
      <c r="P900" s="118"/>
      <c r="Q900" s="118"/>
      <c r="R900" s="118"/>
      <c r="S900" s="118"/>
      <c r="T900" s="118"/>
      <c r="U900" s="118"/>
      <c r="V900" s="118"/>
      <c r="W900" s="118"/>
      <c r="X900" s="118"/>
      <c r="Y900" s="118"/>
      <c r="Z900" s="118"/>
    </row>
    <row r="901" spans="1:26" ht="14.25" customHeight="1">
      <c r="A901" s="118"/>
      <c r="B901" s="118"/>
      <c r="C901" s="118"/>
      <c r="D901" s="118"/>
      <c r="E901" s="118"/>
      <c r="F901" s="118"/>
      <c r="G901" s="118"/>
      <c r="H901" s="118"/>
      <c r="I901" s="118"/>
      <c r="J901" s="118"/>
      <c r="K901" s="118"/>
      <c r="L901" s="118"/>
      <c r="M901" s="118"/>
      <c r="N901" s="118"/>
      <c r="O901" s="118"/>
      <c r="P901" s="118"/>
      <c r="Q901" s="118"/>
      <c r="R901" s="118"/>
      <c r="S901" s="118"/>
      <c r="T901" s="118"/>
      <c r="U901" s="118"/>
      <c r="V901" s="118"/>
      <c r="W901" s="118"/>
      <c r="X901" s="118"/>
      <c r="Y901" s="118"/>
      <c r="Z901" s="118"/>
    </row>
    <row r="902" spans="1:26" ht="14.25" customHeight="1">
      <c r="A902" s="118"/>
      <c r="B902" s="118"/>
      <c r="C902" s="118"/>
      <c r="D902" s="118"/>
      <c r="E902" s="118"/>
      <c r="F902" s="118"/>
      <c r="G902" s="118"/>
      <c r="H902" s="118"/>
      <c r="I902" s="118"/>
      <c r="J902" s="118"/>
      <c r="K902" s="118"/>
      <c r="L902" s="118"/>
      <c r="M902" s="118"/>
      <c r="N902" s="118"/>
      <c r="O902" s="118"/>
      <c r="P902" s="118"/>
      <c r="Q902" s="118"/>
      <c r="R902" s="118"/>
      <c r="S902" s="118"/>
      <c r="T902" s="118"/>
      <c r="U902" s="118"/>
      <c r="V902" s="118"/>
      <c r="W902" s="118"/>
      <c r="X902" s="118"/>
      <c r="Y902" s="118"/>
      <c r="Z902" s="118"/>
    </row>
    <row r="903" spans="1:26" ht="14.25" customHeight="1">
      <c r="A903" s="118"/>
      <c r="B903" s="118"/>
      <c r="C903" s="118"/>
      <c r="D903" s="118"/>
      <c r="E903" s="118"/>
      <c r="F903" s="118"/>
      <c r="G903" s="118"/>
      <c r="H903" s="118"/>
      <c r="I903" s="118"/>
      <c r="J903" s="118"/>
      <c r="K903" s="118"/>
      <c r="L903" s="118"/>
      <c r="M903" s="118"/>
      <c r="N903" s="118"/>
      <c r="O903" s="118"/>
      <c r="P903" s="118"/>
      <c r="Q903" s="118"/>
      <c r="R903" s="118"/>
      <c r="S903" s="118"/>
      <c r="T903" s="118"/>
      <c r="U903" s="118"/>
      <c r="V903" s="118"/>
      <c r="W903" s="118"/>
      <c r="X903" s="118"/>
      <c r="Y903" s="118"/>
      <c r="Z903" s="118"/>
    </row>
    <row r="904" spans="1:26" ht="14.25" customHeight="1">
      <c r="A904" s="118"/>
      <c r="B904" s="118"/>
      <c r="C904" s="118"/>
      <c r="D904" s="118"/>
      <c r="E904" s="118"/>
      <c r="F904" s="118"/>
      <c r="G904" s="118"/>
      <c r="H904" s="118"/>
      <c r="I904" s="118"/>
      <c r="J904" s="118"/>
      <c r="K904" s="118"/>
      <c r="L904" s="118"/>
      <c r="M904" s="118"/>
      <c r="N904" s="118"/>
      <c r="O904" s="118"/>
      <c r="P904" s="118"/>
      <c r="Q904" s="118"/>
      <c r="R904" s="118"/>
      <c r="S904" s="118"/>
      <c r="T904" s="118"/>
      <c r="U904" s="118"/>
      <c r="V904" s="118"/>
      <c r="W904" s="118"/>
      <c r="X904" s="118"/>
      <c r="Y904" s="118"/>
      <c r="Z904" s="118"/>
    </row>
    <row r="905" spans="1:26" ht="14.25" customHeight="1">
      <c r="A905" s="118"/>
      <c r="B905" s="118"/>
      <c r="C905" s="118"/>
      <c r="D905" s="118"/>
      <c r="E905" s="118"/>
      <c r="F905" s="118"/>
      <c r="G905" s="118"/>
      <c r="H905" s="118"/>
      <c r="I905" s="118"/>
      <c r="J905" s="118"/>
      <c r="K905" s="118"/>
      <c r="L905" s="118"/>
      <c r="M905" s="118"/>
      <c r="N905" s="118"/>
      <c r="O905" s="118"/>
      <c r="P905" s="118"/>
      <c r="Q905" s="118"/>
      <c r="R905" s="118"/>
      <c r="S905" s="118"/>
      <c r="T905" s="118"/>
      <c r="U905" s="118"/>
      <c r="V905" s="118"/>
      <c r="W905" s="118"/>
      <c r="X905" s="118"/>
      <c r="Y905" s="118"/>
      <c r="Z905" s="118"/>
    </row>
    <row r="906" spans="1:26" ht="14.25" customHeight="1">
      <c r="A906" s="118"/>
      <c r="B906" s="118"/>
      <c r="C906" s="118"/>
      <c r="D906" s="118"/>
      <c r="E906" s="118"/>
      <c r="F906" s="118"/>
      <c r="G906" s="118"/>
      <c r="H906" s="118"/>
      <c r="I906" s="118"/>
      <c r="J906" s="118"/>
      <c r="K906" s="118"/>
      <c r="L906" s="118"/>
      <c r="M906" s="118"/>
      <c r="N906" s="118"/>
      <c r="O906" s="118"/>
      <c r="P906" s="118"/>
      <c r="Q906" s="118"/>
      <c r="R906" s="118"/>
      <c r="S906" s="118"/>
      <c r="T906" s="118"/>
      <c r="U906" s="118"/>
      <c r="V906" s="118"/>
      <c r="W906" s="118"/>
      <c r="X906" s="118"/>
      <c r="Y906" s="118"/>
      <c r="Z906" s="118"/>
    </row>
    <row r="907" spans="1:26" ht="14.25" customHeight="1">
      <c r="A907" s="118"/>
      <c r="B907" s="118"/>
      <c r="C907" s="118"/>
      <c r="D907" s="118"/>
      <c r="E907" s="118"/>
      <c r="F907" s="118"/>
      <c r="G907" s="118"/>
      <c r="H907" s="118"/>
      <c r="I907" s="118"/>
      <c r="J907" s="118"/>
      <c r="K907" s="118"/>
      <c r="L907" s="118"/>
      <c r="M907" s="118"/>
      <c r="N907" s="118"/>
      <c r="O907" s="118"/>
      <c r="P907" s="118"/>
      <c r="Q907" s="118"/>
      <c r="R907" s="118"/>
      <c r="S907" s="118"/>
      <c r="T907" s="118"/>
      <c r="U907" s="118"/>
      <c r="V907" s="118"/>
      <c r="W907" s="118"/>
      <c r="X907" s="118"/>
      <c r="Y907" s="118"/>
      <c r="Z907" s="118"/>
    </row>
    <row r="908" spans="1:26" ht="14.25" customHeight="1">
      <c r="A908" s="118"/>
      <c r="B908" s="118"/>
      <c r="C908" s="118"/>
      <c r="D908" s="118"/>
      <c r="E908" s="118"/>
      <c r="F908" s="118"/>
      <c r="G908" s="118"/>
      <c r="H908" s="118"/>
      <c r="I908" s="118"/>
      <c r="J908" s="118"/>
      <c r="K908" s="118"/>
      <c r="L908" s="118"/>
      <c r="M908" s="118"/>
      <c r="N908" s="118"/>
      <c r="O908" s="118"/>
      <c r="P908" s="118"/>
      <c r="Q908" s="118"/>
      <c r="R908" s="118"/>
      <c r="S908" s="118"/>
      <c r="T908" s="118"/>
      <c r="U908" s="118"/>
      <c r="V908" s="118"/>
      <c r="W908" s="118"/>
      <c r="X908" s="118"/>
      <c r="Y908" s="118"/>
      <c r="Z908" s="118"/>
    </row>
    <row r="909" spans="1:26" ht="14.25" customHeight="1">
      <c r="A909" s="118"/>
      <c r="B909" s="118"/>
      <c r="C909" s="118"/>
      <c r="D909" s="118"/>
      <c r="E909" s="118"/>
      <c r="F909" s="118"/>
      <c r="G909" s="118"/>
      <c r="H909" s="118"/>
      <c r="I909" s="118"/>
      <c r="J909" s="118"/>
      <c r="K909" s="118"/>
      <c r="L909" s="118"/>
      <c r="M909" s="118"/>
      <c r="N909" s="118"/>
      <c r="O909" s="118"/>
      <c r="P909" s="118"/>
      <c r="Q909" s="118"/>
      <c r="R909" s="118"/>
      <c r="S909" s="118"/>
      <c r="T909" s="118"/>
      <c r="U909" s="118"/>
      <c r="V909" s="118"/>
      <c r="W909" s="118"/>
      <c r="X909" s="118"/>
      <c r="Y909" s="118"/>
      <c r="Z909" s="118"/>
    </row>
    <row r="910" spans="1:26" ht="14.25" customHeight="1">
      <c r="A910" s="118"/>
      <c r="B910" s="118"/>
      <c r="C910" s="118"/>
      <c r="D910" s="118"/>
      <c r="E910" s="118"/>
      <c r="F910" s="118"/>
      <c r="G910" s="118"/>
      <c r="H910" s="118"/>
      <c r="I910" s="118"/>
      <c r="J910" s="118"/>
      <c r="K910" s="118"/>
      <c r="L910" s="118"/>
      <c r="M910" s="118"/>
      <c r="N910" s="118"/>
      <c r="O910" s="118"/>
      <c r="P910" s="118"/>
      <c r="Q910" s="118"/>
      <c r="R910" s="118"/>
      <c r="S910" s="118"/>
      <c r="T910" s="118"/>
      <c r="U910" s="118"/>
      <c r="V910" s="118"/>
      <c r="W910" s="118"/>
      <c r="X910" s="118"/>
      <c r="Y910" s="118"/>
      <c r="Z910" s="118"/>
    </row>
    <row r="911" spans="1:26" ht="14.25" customHeight="1">
      <c r="A911" s="118"/>
      <c r="B911" s="118"/>
      <c r="C911" s="118"/>
      <c r="D911" s="118"/>
      <c r="E911" s="118"/>
      <c r="F911" s="118"/>
      <c r="G911" s="118"/>
      <c r="H911" s="118"/>
      <c r="I911" s="118"/>
      <c r="J911" s="118"/>
      <c r="K911" s="118"/>
      <c r="L911" s="118"/>
      <c r="M911" s="118"/>
      <c r="N911" s="118"/>
      <c r="O911" s="118"/>
      <c r="P911" s="118"/>
      <c r="Q911" s="118"/>
      <c r="R911" s="118"/>
      <c r="S911" s="118"/>
      <c r="T911" s="118"/>
      <c r="U911" s="118"/>
      <c r="V911" s="118"/>
      <c r="W911" s="118"/>
      <c r="X911" s="118"/>
      <c r="Y911" s="118"/>
      <c r="Z911" s="118"/>
    </row>
    <row r="912" spans="1:26" ht="14.25" customHeight="1">
      <c r="A912" s="118"/>
      <c r="B912" s="118"/>
      <c r="C912" s="118"/>
      <c r="D912" s="118"/>
      <c r="E912" s="118"/>
      <c r="F912" s="118"/>
      <c r="G912" s="118"/>
      <c r="H912" s="118"/>
      <c r="I912" s="118"/>
      <c r="J912" s="118"/>
      <c r="K912" s="118"/>
      <c r="L912" s="118"/>
      <c r="M912" s="118"/>
      <c r="N912" s="118"/>
      <c r="O912" s="118"/>
      <c r="P912" s="118"/>
      <c r="Q912" s="118"/>
      <c r="R912" s="118"/>
      <c r="S912" s="118"/>
      <c r="T912" s="118"/>
      <c r="U912" s="118"/>
      <c r="V912" s="118"/>
      <c r="W912" s="118"/>
      <c r="X912" s="118"/>
      <c r="Y912" s="118"/>
      <c r="Z912" s="118"/>
    </row>
    <row r="913" spans="1:26" ht="14.25" customHeight="1">
      <c r="A913" s="118"/>
      <c r="B913" s="118"/>
      <c r="C913" s="118"/>
      <c r="D913" s="118"/>
      <c r="E913" s="118"/>
      <c r="F913" s="118"/>
      <c r="G913" s="118"/>
      <c r="H913" s="118"/>
      <c r="I913" s="118"/>
      <c r="J913" s="118"/>
      <c r="K913" s="118"/>
      <c r="L913" s="118"/>
      <c r="M913" s="118"/>
      <c r="N913" s="118"/>
      <c r="O913" s="118"/>
      <c r="P913" s="118"/>
      <c r="Q913" s="118"/>
      <c r="R913" s="118"/>
      <c r="S913" s="118"/>
      <c r="T913" s="118"/>
      <c r="U913" s="118"/>
      <c r="V913" s="118"/>
      <c r="W913" s="118"/>
      <c r="X913" s="118"/>
      <c r="Y913" s="118"/>
      <c r="Z913" s="118"/>
    </row>
    <row r="914" spans="1:26" ht="14.25" customHeight="1">
      <c r="A914" s="118"/>
      <c r="B914" s="118"/>
      <c r="C914" s="118"/>
      <c r="D914" s="118"/>
      <c r="E914" s="118"/>
      <c r="F914" s="118"/>
      <c r="G914" s="118"/>
      <c r="H914" s="118"/>
      <c r="I914" s="118"/>
      <c r="J914" s="118"/>
      <c r="K914" s="118"/>
      <c r="L914" s="118"/>
      <c r="M914" s="118"/>
      <c r="N914" s="118"/>
      <c r="O914" s="118"/>
      <c r="P914" s="118"/>
      <c r="Q914" s="118"/>
      <c r="R914" s="118"/>
      <c r="S914" s="118"/>
      <c r="T914" s="118"/>
      <c r="U914" s="118"/>
      <c r="V914" s="118"/>
      <c r="W914" s="118"/>
      <c r="X914" s="118"/>
      <c r="Y914" s="118"/>
      <c r="Z914" s="118"/>
    </row>
    <row r="915" spans="1:26" ht="14.25" customHeight="1">
      <c r="A915" s="118"/>
      <c r="B915" s="118"/>
      <c r="C915" s="118"/>
      <c r="D915" s="118"/>
      <c r="E915" s="118"/>
      <c r="F915" s="118"/>
      <c r="G915" s="118"/>
      <c r="H915" s="118"/>
      <c r="I915" s="118"/>
      <c r="J915" s="118"/>
      <c r="K915" s="118"/>
      <c r="L915" s="118"/>
      <c r="M915" s="118"/>
      <c r="N915" s="118"/>
      <c r="O915" s="118"/>
      <c r="P915" s="118"/>
      <c r="Q915" s="118"/>
      <c r="R915" s="118"/>
      <c r="S915" s="118"/>
      <c r="T915" s="118"/>
      <c r="U915" s="118"/>
      <c r="V915" s="118"/>
      <c r="W915" s="118"/>
      <c r="X915" s="118"/>
      <c r="Y915" s="118"/>
      <c r="Z915" s="118"/>
    </row>
    <row r="916" spans="1:26" ht="14.25" customHeight="1">
      <c r="A916" s="118"/>
      <c r="B916" s="118"/>
      <c r="C916" s="118"/>
      <c r="D916" s="118"/>
      <c r="E916" s="118"/>
      <c r="F916" s="118"/>
      <c r="G916" s="118"/>
      <c r="H916" s="118"/>
      <c r="I916" s="118"/>
      <c r="J916" s="118"/>
      <c r="K916" s="118"/>
      <c r="L916" s="118"/>
      <c r="M916" s="118"/>
      <c r="N916" s="118"/>
      <c r="O916" s="118"/>
      <c r="P916" s="118"/>
      <c r="Q916" s="118"/>
      <c r="R916" s="118"/>
      <c r="S916" s="118"/>
      <c r="T916" s="118"/>
      <c r="U916" s="118"/>
      <c r="V916" s="118"/>
      <c r="W916" s="118"/>
      <c r="X916" s="118"/>
      <c r="Y916" s="118"/>
      <c r="Z916" s="118"/>
    </row>
    <row r="917" spans="1:26" ht="14.25" customHeight="1">
      <c r="A917" s="118"/>
      <c r="B917" s="118"/>
      <c r="C917" s="118"/>
      <c r="D917" s="118"/>
      <c r="E917" s="118"/>
      <c r="F917" s="118"/>
      <c r="G917" s="118"/>
      <c r="H917" s="118"/>
      <c r="I917" s="118"/>
      <c r="J917" s="118"/>
      <c r="K917" s="118"/>
      <c r="L917" s="118"/>
      <c r="M917" s="118"/>
      <c r="N917" s="118"/>
      <c r="O917" s="118"/>
      <c r="P917" s="118"/>
      <c r="Q917" s="118"/>
      <c r="R917" s="118"/>
      <c r="S917" s="118"/>
      <c r="T917" s="118"/>
      <c r="U917" s="118"/>
      <c r="V917" s="118"/>
      <c r="W917" s="118"/>
      <c r="X917" s="118"/>
      <c r="Y917" s="118"/>
      <c r="Z917" s="118"/>
    </row>
    <row r="918" spans="1:26" ht="14.25" customHeight="1">
      <c r="A918" s="118"/>
      <c r="B918" s="118"/>
      <c r="C918" s="118"/>
      <c r="D918" s="118"/>
      <c r="E918" s="118"/>
      <c r="F918" s="118"/>
      <c r="G918" s="118"/>
      <c r="H918" s="118"/>
      <c r="I918" s="118"/>
      <c r="J918" s="118"/>
      <c r="K918" s="118"/>
      <c r="L918" s="118"/>
      <c r="M918" s="118"/>
      <c r="N918" s="118"/>
      <c r="O918" s="118"/>
      <c r="P918" s="118"/>
      <c r="Q918" s="118"/>
      <c r="R918" s="118"/>
      <c r="S918" s="118"/>
      <c r="T918" s="118"/>
      <c r="U918" s="118"/>
      <c r="V918" s="118"/>
      <c r="W918" s="118"/>
      <c r="X918" s="118"/>
      <c r="Y918" s="118"/>
      <c r="Z918" s="118"/>
    </row>
    <row r="919" spans="1:26" ht="14.25" customHeight="1">
      <c r="A919" s="118"/>
      <c r="B919" s="118"/>
      <c r="C919" s="118"/>
      <c r="D919" s="118"/>
      <c r="E919" s="118"/>
      <c r="F919" s="118"/>
      <c r="G919" s="118"/>
      <c r="H919" s="118"/>
      <c r="I919" s="118"/>
      <c r="J919" s="118"/>
      <c r="K919" s="118"/>
      <c r="L919" s="118"/>
      <c r="M919" s="118"/>
      <c r="N919" s="118"/>
      <c r="O919" s="118"/>
      <c r="P919" s="118"/>
      <c r="Q919" s="118"/>
      <c r="R919" s="118"/>
      <c r="S919" s="118"/>
      <c r="T919" s="118"/>
      <c r="U919" s="118"/>
      <c r="V919" s="118"/>
      <c r="W919" s="118"/>
      <c r="X919" s="118"/>
      <c r="Y919" s="118"/>
      <c r="Z919" s="118"/>
    </row>
    <row r="920" spans="1:26" ht="14.25" customHeight="1">
      <c r="A920" s="118"/>
      <c r="B920" s="118"/>
      <c r="C920" s="118"/>
      <c r="D920" s="118"/>
      <c r="E920" s="118"/>
      <c r="F920" s="118"/>
      <c r="G920" s="118"/>
      <c r="H920" s="118"/>
      <c r="I920" s="118"/>
      <c r="J920" s="118"/>
      <c r="K920" s="118"/>
      <c r="L920" s="118"/>
      <c r="M920" s="118"/>
      <c r="N920" s="118"/>
      <c r="O920" s="118"/>
      <c r="P920" s="118"/>
      <c r="Q920" s="118"/>
      <c r="R920" s="118"/>
      <c r="S920" s="118"/>
      <c r="T920" s="118"/>
      <c r="U920" s="118"/>
      <c r="V920" s="118"/>
      <c r="W920" s="118"/>
      <c r="X920" s="118"/>
      <c r="Y920" s="118"/>
      <c r="Z920" s="118"/>
    </row>
    <row r="921" spans="1:26" ht="14.25" customHeight="1">
      <c r="A921" s="118"/>
      <c r="B921" s="118"/>
      <c r="C921" s="118"/>
      <c r="D921" s="118"/>
      <c r="E921" s="118"/>
      <c r="F921" s="118"/>
      <c r="G921" s="118"/>
      <c r="H921" s="118"/>
      <c r="I921" s="118"/>
      <c r="J921" s="118"/>
      <c r="K921" s="118"/>
      <c r="L921" s="118"/>
      <c r="M921" s="118"/>
      <c r="N921" s="118"/>
      <c r="O921" s="118"/>
      <c r="P921" s="118"/>
      <c r="Q921" s="118"/>
      <c r="R921" s="118"/>
      <c r="S921" s="118"/>
      <c r="T921" s="118"/>
      <c r="U921" s="118"/>
      <c r="V921" s="118"/>
      <c r="W921" s="118"/>
      <c r="X921" s="118"/>
      <c r="Y921" s="118"/>
      <c r="Z921" s="118"/>
    </row>
    <row r="922" spans="1:26" ht="14.25" customHeight="1">
      <c r="A922" s="118"/>
      <c r="B922" s="118"/>
      <c r="C922" s="118"/>
      <c r="D922" s="118"/>
      <c r="E922" s="118"/>
      <c r="F922" s="118"/>
      <c r="G922" s="118"/>
      <c r="H922" s="118"/>
      <c r="I922" s="118"/>
      <c r="J922" s="118"/>
      <c r="K922" s="118"/>
      <c r="L922" s="118"/>
      <c r="M922" s="118"/>
      <c r="N922" s="118"/>
      <c r="O922" s="118"/>
      <c r="P922" s="118"/>
      <c r="Q922" s="118"/>
      <c r="R922" s="118"/>
      <c r="S922" s="118"/>
      <c r="T922" s="118"/>
      <c r="U922" s="118"/>
      <c r="V922" s="118"/>
      <c r="W922" s="118"/>
      <c r="X922" s="118"/>
      <c r="Y922" s="118"/>
      <c r="Z922" s="118"/>
    </row>
    <row r="923" spans="1:26" ht="14.25" customHeight="1">
      <c r="A923" s="118"/>
      <c r="B923" s="118"/>
      <c r="C923" s="118"/>
      <c r="D923" s="118"/>
      <c r="E923" s="118"/>
      <c r="F923" s="118"/>
      <c r="G923" s="118"/>
      <c r="H923" s="118"/>
      <c r="I923" s="118"/>
      <c r="J923" s="118"/>
      <c r="K923" s="118"/>
      <c r="L923" s="118"/>
      <c r="M923" s="118"/>
      <c r="N923" s="118"/>
      <c r="O923" s="118"/>
      <c r="P923" s="118"/>
      <c r="Q923" s="118"/>
      <c r="R923" s="118"/>
      <c r="S923" s="118"/>
      <c r="T923" s="118"/>
      <c r="U923" s="118"/>
      <c r="V923" s="118"/>
      <c r="W923" s="118"/>
      <c r="X923" s="118"/>
      <c r="Y923" s="118"/>
      <c r="Z923" s="118"/>
    </row>
    <row r="924" spans="1:26" ht="14.25" customHeight="1">
      <c r="A924" s="118"/>
      <c r="B924" s="118"/>
      <c r="C924" s="118"/>
      <c r="D924" s="118"/>
      <c r="E924" s="118"/>
      <c r="F924" s="118"/>
      <c r="G924" s="118"/>
      <c r="H924" s="118"/>
      <c r="I924" s="118"/>
      <c r="J924" s="118"/>
      <c r="K924" s="118"/>
      <c r="L924" s="118"/>
      <c r="M924" s="118"/>
      <c r="N924" s="118"/>
      <c r="O924" s="118"/>
      <c r="P924" s="118"/>
      <c r="Q924" s="118"/>
      <c r="R924" s="118"/>
      <c r="S924" s="118"/>
      <c r="T924" s="118"/>
      <c r="U924" s="118"/>
      <c r="V924" s="118"/>
      <c r="W924" s="118"/>
      <c r="X924" s="118"/>
      <c r="Y924" s="118"/>
      <c r="Z924" s="118"/>
    </row>
    <row r="925" spans="1:26" ht="14.25" customHeight="1">
      <c r="A925" s="118"/>
      <c r="B925" s="118"/>
      <c r="C925" s="118"/>
      <c r="D925" s="118"/>
      <c r="E925" s="118"/>
      <c r="F925" s="118"/>
      <c r="G925" s="118"/>
      <c r="H925" s="118"/>
      <c r="I925" s="118"/>
      <c r="J925" s="118"/>
      <c r="K925" s="118"/>
      <c r="L925" s="118"/>
      <c r="M925" s="118"/>
      <c r="N925" s="118"/>
      <c r="O925" s="118"/>
      <c r="P925" s="118"/>
      <c r="Q925" s="118"/>
      <c r="R925" s="118"/>
      <c r="S925" s="118"/>
      <c r="T925" s="118"/>
      <c r="U925" s="118"/>
      <c r="V925" s="118"/>
      <c r="W925" s="118"/>
      <c r="X925" s="118"/>
      <c r="Y925" s="118"/>
      <c r="Z925" s="118"/>
    </row>
    <row r="926" spans="1:26" ht="14.25" customHeight="1">
      <c r="A926" s="118"/>
      <c r="B926" s="118"/>
      <c r="C926" s="118"/>
      <c r="D926" s="118"/>
      <c r="E926" s="118"/>
      <c r="F926" s="118"/>
      <c r="G926" s="118"/>
      <c r="H926" s="118"/>
      <c r="I926" s="118"/>
      <c r="J926" s="118"/>
      <c r="K926" s="118"/>
      <c r="L926" s="118"/>
      <c r="M926" s="118"/>
      <c r="N926" s="118"/>
      <c r="O926" s="118"/>
      <c r="P926" s="118"/>
      <c r="Q926" s="118"/>
      <c r="R926" s="118"/>
      <c r="S926" s="118"/>
      <c r="T926" s="118"/>
      <c r="U926" s="118"/>
      <c r="V926" s="118"/>
      <c r="W926" s="118"/>
      <c r="X926" s="118"/>
      <c r="Y926" s="118"/>
      <c r="Z926" s="118"/>
    </row>
    <row r="927" spans="1:26" ht="14.25" customHeight="1">
      <c r="A927" s="118"/>
      <c r="B927" s="118"/>
      <c r="C927" s="118"/>
      <c r="D927" s="118"/>
      <c r="E927" s="118"/>
      <c r="F927" s="118"/>
      <c r="G927" s="118"/>
      <c r="H927" s="118"/>
      <c r="I927" s="118"/>
      <c r="J927" s="118"/>
      <c r="K927" s="118"/>
      <c r="L927" s="118"/>
      <c r="M927" s="118"/>
      <c r="N927" s="118"/>
      <c r="O927" s="118"/>
      <c r="P927" s="118"/>
      <c r="Q927" s="118"/>
      <c r="R927" s="118"/>
      <c r="S927" s="118"/>
      <c r="T927" s="118"/>
      <c r="U927" s="118"/>
      <c r="V927" s="118"/>
      <c r="W927" s="118"/>
      <c r="X927" s="118"/>
      <c r="Y927" s="118"/>
      <c r="Z927" s="118"/>
    </row>
    <row r="928" spans="1:26" ht="14.25" customHeight="1">
      <c r="A928" s="118"/>
      <c r="B928" s="118"/>
      <c r="C928" s="118"/>
      <c r="D928" s="118"/>
      <c r="E928" s="118"/>
      <c r="F928" s="118"/>
      <c r="G928" s="118"/>
      <c r="H928" s="118"/>
      <c r="I928" s="118"/>
      <c r="J928" s="118"/>
      <c r="K928" s="118"/>
      <c r="L928" s="118"/>
      <c r="M928" s="118"/>
      <c r="N928" s="118"/>
      <c r="O928" s="118"/>
      <c r="P928" s="118"/>
      <c r="Q928" s="118"/>
      <c r="R928" s="118"/>
      <c r="S928" s="118"/>
      <c r="T928" s="118"/>
      <c r="U928" s="118"/>
      <c r="V928" s="118"/>
      <c r="W928" s="118"/>
      <c r="X928" s="118"/>
      <c r="Y928" s="118"/>
      <c r="Z928" s="118"/>
    </row>
    <row r="929" spans="1:26" ht="14.25" customHeight="1">
      <c r="A929" s="118"/>
      <c r="B929" s="118"/>
      <c r="C929" s="118"/>
      <c r="D929" s="118"/>
      <c r="E929" s="118"/>
      <c r="F929" s="118"/>
      <c r="G929" s="118"/>
      <c r="H929" s="118"/>
      <c r="I929" s="118"/>
      <c r="J929" s="118"/>
      <c r="K929" s="118"/>
      <c r="L929" s="118"/>
      <c r="M929" s="118"/>
      <c r="N929" s="118"/>
      <c r="O929" s="118"/>
      <c r="P929" s="118"/>
      <c r="Q929" s="118"/>
      <c r="R929" s="118"/>
      <c r="S929" s="118"/>
      <c r="T929" s="118"/>
      <c r="U929" s="118"/>
      <c r="V929" s="118"/>
      <c r="W929" s="118"/>
      <c r="X929" s="118"/>
      <c r="Y929" s="118"/>
      <c r="Z929" s="118"/>
    </row>
    <row r="930" spans="1:26" ht="14.25" customHeight="1">
      <c r="A930" s="118"/>
      <c r="B930" s="118"/>
      <c r="C930" s="118"/>
      <c r="D930" s="118"/>
      <c r="E930" s="118"/>
      <c r="F930" s="118"/>
      <c r="G930" s="118"/>
      <c r="H930" s="118"/>
      <c r="I930" s="118"/>
      <c r="J930" s="118"/>
      <c r="K930" s="118"/>
      <c r="L930" s="118"/>
      <c r="M930" s="118"/>
      <c r="N930" s="118"/>
      <c r="O930" s="118"/>
      <c r="P930" s="118"/>
      <c r="Q930" s="118"/>
      <c r="R930" s="118"/>
      <c r="S930" s="118"/>
      <c r="T930" s="118"/>
      <c r="U930" s="118"/>
      <c r="V930" s="118"/>
      <c r="W930" s="118"/>
      <c r="X930" s="118"/>
      <c r="Y930" s="118"/>
      <c r="Z930" s="118"/>
    </row>
    <row r="931" spans="1:26" ht="14.25" customHeight="1">
      <c r="A931" s="118"/>
      <c r="B931" s="118"/>
      <c r="C931" s="118"/>
      <c r="D931" s="118"/>
      <c r="E931" s="118"/>
      <c r="F931" s="118"/>
      <c r="G931" s="118"/>
      <c r="H931" s="118"/>
      <c r="I931" s="118"/>
      <c r="J931" s="118"/>
      <c r="K931" s="118"/>
      <c r="L931" s="118"/>
      <c r="M931" s="118"/>
      <c r="N931" s="118"/>
      <c r="O931" s="118"/>
      <c r="P931" s="118"/>
      <c r="Q931" s="118"/>
      <c r="R931" s="118"/>
      <c r="S931" s="118"/>
      <c r="T931" s="118"/>
      <c r="U931" s="118"/>
      <c r="V931" s="118"/>
      <c r="W931" s="118"/>
      <c r="X931" s="118"/>
      <c r="Y931" s="118"/>
      <c r="Z931" s="118"/>
    </row>
    <row r="932" spans="1:26" ht="14.25" customHeight="1">
      <c r="A932" s="118"/>
      <c r="B932" s="118"/>
      <c r="C932" s="118"/>
      <c r="D932" s="118"/>
      <c r="E932" s="118"/>
      <c r="F932" s="118"/>
      <c r="G932" s="118"/>
      <c r="H932" s="118"/>
      <c r="I932" s="118"/>
      <c r="J932" s="118"/>
      <c r="K932" s="118"/>
      <c r="L932" s="118"/>
      <c r="M932" s="118"/>
      <c r="N932" s="118"/>
      <c r="O932" s="118"/>
      <c r="P932" s="118"/>
      <c r="Q932" s="118"/>
      <c r="R932" s="118"/>
      <c r="S932" s="118"/>
      <c r="T932" s="118"/>
      <c r="U932" s="118"/>
      <c r="V932" s="118"/>
      <c r="W932" s="118"/>
      <c r="X932" s="118"/>
      <c r="Y932" s="118"/>
      <c r="Z932" s="118"/>
    </row>
    <row r="933" spans="1:26" ht="14.25" customHeight="1">
      <c r="A933" s="118"/>
      <c r="B933" s="118"/>
      <c r="C933" s="118"/>
      <c r="D933" s="118"/>
      <c r="E933" s="118"/>
      <c r="F933" s="118"/>
      <c r="G933" s="118"/>
      <c r="H933" s="118"/>
      <c r="I933" s="118"/>
      <c r="J933" s="118"/>
      <c r="K933" s="118"/>
      <c r="L933" s="118"/>
      <c r="M933" s="118"/>
      <c r="N933" s="118"/>
      <c r="O933" s="118"/>
      <c r="P933" s="118"/>
      <c r="Q933" s="118"/>
      <c r="R933" s="118"/>
      <c r="S933" s="118"/>
      <c r="T933" s="118"/>
      <c r="U933" s="118"/>
      <c r="V933" s="118"/>
      <c r="W933" s="118"/>
      <c r="X933" s="118"/>
      <c r="Y933" s="118"/>
      <c r="Z933" s="118"/>
    </row>
    <row r="934" spans="1:26" ht="14.25" customHeight="1">
      <c r="A934" s="118"/>
      <c r="B934" s="118"/>
      <c r="C934" s="118"/>
      <c r="D934" s="118"/>
      <c r="E934" s="118"/>
      <c r="F934" s="118"/>
      <c r="G934" s="118"/>
      <c r="H934" s="118"/>
      <c r="I934" s="118"/>
      <c r="J934" s="118"/>
      <c r="K934" s="118"/>
      <c r="L934" s="118"/>
      <c r="M934" s="118"/>
      <c r="N934" s="118"/>
      <c r="O934" s="118"/>
      <c r="P934" s="118"/>
      <c r="Q934" s="118"/>
      <c r="R934" s="118"/>
      <c r="S934" s="118"/>
      <c r="T934" s="118"/>
      <c r="U934" s="118"/>
      <c r="V934" s="118"/>
      <c r="W934" s="118"/>
      <c r="X934" s="118"/>
      <c r="Y934" s="118"/>
      <c r="Z934" s="118"/>
    </row>
    <row r="935" spans="1:26" ht="14.25" customHeight="1">
      <c r="A935" s="118"/>
      <c r="B935" s="118"/>
      <c r="C935" s="118"/>
      <c r="D935" s="118"/>
      <c r="E935" s="118"/>
      <c r="F935" s="118"/>
      <c r="G935" s="118"/>
      <c r="H935" s="118"/>
      <c r="I935" s="118"/>
      <c r="J935" s="118"/>
      <c r="K935" s="118"/>
      <c r="L935" s="118"/>
      <c r="M935" s="118"/>
      <c r="N935" s="118"/>
      <c r="O935" s="118"/>
      <c r="P935" s="118"/>
      <c r="Q935" s="118"/>
      <c r="R935" s="118"/>
      <c r="S935" s="118"/>
      <c r="T935" s="118"/>
      <c r="U935" s="118"/>
      <c r="V935" s="118"/>
      <c r="W935" s="118"/>
      <c r="X935" s="118"/>
      <c r="Y935" s="118"/>
      <c r="Z935" s="118"/>
    </row>
    <row r="936" spans="1:26" ht="14.25" customHeight="1">
      <c r="A936" s="118"/>
      <c r="B936" s="118"/>
      <c r="C936" s="118"/>
      <c r="D936" s="118"/>
      <c r="E936" s="118"/>
      <c r="F936" s="118"/>
      <c r="G936" s="118"/>
      <c r="H936" s="118"/>
      <c r="I936" s="118"/>
      <c r="J936" s="118"/>
      <c r="K936" s="118"/>
      <c r="L936" s="118"/>
      <c r="M936" s="118"/>
      <c r="N936" s="118"/>
      <c r="O936" s="118"/>
      <c r="P936" s="118"/>
      <c r="Q936" s="118"/>
      <c r="R936" s="118"/>
      <c r="S936" s="118"/>
      <c r="T936" s="118"/>
      <c r="U936" s="118"/>
      <c r="V936" s="118"/>
      <c r="W936" s="118"/>
      <c r="X936" s="118"/>
      <c r="Y936" s="118"/>
      <c r="Z936" s="118"/>
    </row>
    <row r="937" spans="1:26" ht="14.25" customHeight="1">
      <c r="A937" s="118"/>
      <c r="B937" s="118"/>
      <c r="C937" s="118"/>
      <c r="D937" s="118"/>
      <c r="E937" s="118"/>
      <c r="F937" s="118"/>
      <c r="G937" s="118"/>
      <c r="H937" s="118"/>
      <c r="I937" s="118"/>
      <c r="J937" s="118"/>
      <c r="K937" s="118"/>
      <c r="L937" s="118"/>
      <c r="M937" s="118"/>
      <c r="N937" s="118"/>
      <c r="O937" s="118"/>
      <c r="P937" s="118"/>
      <c r="Q937" s="118"/>
      <c r="R937" s="118"/>
      <c r="S937" s="118"/>
      <c r="T937" s="118"/>
      <c r="U937" s="118"/>
      <c r="V937" s="118"/>
      <c r="W937" s="118"/>
      <c r="X937" s="118"/>
      <c r="Y937" s="118"/>
      <c r="Z937" s="118"/>
    </row>
    <row r="938" spans="1:26" ht="14.25" customHeight="1">
      <c r="A938" s="118"/>
      <c r="B938" s="118"/>
      <c r="C938" s="118"/>
      <c r="D938" s="118"/>
      <c r="E938" s="118"/>
      <c r="F938" s="118"/>
      <c r="G938" s="118"/>
      <c r="H938" s="118"/>
      <c r="I938" s="118"/>
      <c r="J938" s="118"/>
      <c r="K938" s="118"/>
      <c r="L938" s="118"/>
      <c r="M938" s="118"/>
      <c r="N938" s="118"/>
      <c r="O938" s="118"/>
      <c r="P938" s="118"/>
      <c r="Q938" s="118"/>
      <c r="R938" s="118"/>
      <c r="S938" s="118"/>
      <c r="T938" s="118"/>
      <c r="U938" s="118"/>
      <c r="V938" s="118"/>
      <c r="W938" s="118"/>
      <c r="X938" s="118"/>
      <c r="Y938" s="118"/>
      <c r="Z938" s="118"/>
    </row>
    <row r="939" spans="1:26" ht="14.25" customHeight="1">
      <c r="A939" s="118"/>
      <c r="B939" s="118"/>
      <c r="C939" s="118"/>
      <c r="D939" s="118"/>
      <c r="E939" s="118"/>
      <c r="F939" s="118"/>
      <c r="G939" s="118"/>
      <c r="H939" s="118"/>
      <c r="I939" s="118"/>
      <c r="J939" s="118"/>
      <c r="K939" s="118"/>
      <c r="L939" s="118"/>
      <c r="M939" s="118"/>
      <c r="N939" s="118"/>
      <c r="O939" s="118"/>
      <c r="P939" s="118"/>
      <c r="Q939" s="118"/>
      <c r="R939" s="118"/>
      <c r="S939" s="118"/>
      <c r="T939" s="118"/>
      <c r="U939" s="118"/>
      <c r="V939" s="118"/>
      <c r="W939" s="118"/>
      <c r="X939" s="118"/>
      <c r="Y939" s="118"/>
      <c r="Z939" s="118"/>
    </row>
    <row r="940" spans="1:26" ht="14.25" customHeight="1">
      <c r="A940" s="118"/>
      <c r="B940" s="118"/>
      <c r="C940" s="118"/>
      <c r="D940" s="118"/>
      <c r="E940" s="118"/>
      <c r="F940" s="118"/>
      <c r="G940" s="118"/>
      <c r="H940" s="118"/>
      <c r="I940" s="118"/>
      <c r="J940" s="118"/>
      <c r="K940" s="118"/>
      <c r="L940" s="118"/>
      <c r="M940" s="118"/>
      <c r="N940" s="118"/>
      <c r="O940" s="118"/>
      <c r="P940" s="118"/>
      <c r="Q940" s="118"/>
      <c r="R940" s="118"/>
      <c r="S940" s="118"/>
      <c r="T940" s="118"/>
      <c r="U940" s="118"/>
      <c r="V940" s="118"/>
      <c r="W940" s="118"/>
      <c r="X940" s="118"/>
      <c r="Y940" s="118"/>
      <c r="Z940" s="118"/>
    </row>
    <row r="941" spans="1:26" ht="14.25" customHeight="1">
      <c r="A941" s="118"/>
      <c r="B941" s="118"/>
      <c r="C941" s="118"/>
      <c r="D941" s="118"/>
      <c r="E941" s="118"/>
      <c r="F941" s="118"/>
      <c r="G941" s="118"/>
      <c r="H941" s="118"/>
      <c r="I941" s="118"/>
      <c r="J941" s="118"/>
      <c r="K941" s="118"/>
      <c r="L941" s="118"/>
      <c r="M941" s="118"/>
      <c r="N941" s="118"/>
      <c r="O941" s="118"/>
      <c r="P941" s="118"/>
      <c r="Q941" s="118"/>
      <c r="R941" s="118"/>
      <c r="S941" s="118"/>
      <c r="T941" s="118"/>
      <c r="U941" s="118"/>
      <c r="V941" s="118"/>
      <c r="W941" s="118"/>
      <c r="X941" s="118"/>
      <c r="Y941" s="118"/>
      <c r="Z941" s="118"/>
    </row>
    <row r="942" spans="1:26" ht="14.25" customHeight="1">
      <c r="A942" s="118"/>
      <c r="B942" s="118"/>
      <c r="C942" s="118"/>
      <c r="D942" s="118"/>
      <c r="E942" s="118"/>
      <c r="F942" s="118"/>
      <c r="G942" s="118"/>
      <c r="H942" s="118"/>
      <c r="I942" s="118"/>
      <c r="J942" s="118"/>
      <c r="K942" s="118"/>
      <c r="L942" s="118"/>
      <c r="M942" s="118"/>
      <c r="N942" s="118"/>
      <c r="O942" s="118"/>
      <c r="P942" s="118"/>
      <c r="Q942" s="118"/>
      <c r="R942" s="118"/>
      <c r="S942" s="118"/>
      <c r="T942" s="118"/>
      <c r="U942" s="118"/>
      <c r="V942" s="118"/>
      <c r="W942" s="118"/>
      <c r="X942" s="118"/>
      <c r="Y942" s="118"/>
      <c r="Z942" s="118"/>
    </row>
    <row r="943" spans="1:26" ht="14.25" customHeight="1">
      <c r="A943" s="118"/>
      <c r="B943" s="118"/>
      <c r="C943" s="118"/>
      <c r="D943" s="118"/>
      <c r="E943" s="118"/>
      <c r="F943" s="118"/>
      <c r="G943" s="118"/>
      <c r="H943" s="118"/>
      <c r="I943" s="118"/>
      <c r="J943" s="118"/>
      <c r="K943" s="118"/>
      <c r="L943" s="118"/>
      <c r="M943" s="118"/>
      <c r="N943" s="118"/>
      <c r="O943" s="118"/>
      <c r="P943" s="118"/>
      <c r="Q943" s="118"/>
      <c r="R943" s="118"/>
      <c r="S943" s="118"/>
      <c r="T943" s="118"/>
      <c r="U943" s="118"/>
      <c r="V943" s="118"/>
      <c r="W943" s="118"/>
      <c r="X943" s="118"/>
      <c r="Y943" s="118"/>
      <c r="Z943" s="118"/>
    </row>
    <row r="944" spans="1:26" ht="14.25" customHeight="1">
      <c r="A944" s="118"/>
      <c r="B944" s="118"/>
      <c r="C944" s="118"/>
      <c r="D944" s="118"/>
      <c r="E944" s="118"/>
      <c r="F944" s="118"/>
      <c r="G944" s="118"/>
      <c r="H944" s="118"/>
      <c r="I944" s="118"/>
      <c r="J944" s="118"/>
      <c r="K944" s="118"/>
      <c r="L944" s="118"/>
      <c r="M944" s="118"/>
      <c r="N944" s="118"/>
      <c r="O944" s="118"/>
      <c r="P944" s="118"/>
      <c r="Q944" s="118"/>
      <c r="R944" s="118"/>
      <c r="S944" s="118"/>
      <c r="T944" s="118"/>
      <c r="U944" s="118"/>
      <c r="V944" s="118"/>
      <c r="W944" s="118"/>
      <c r="X944" s="118"/>
      <c r="Y944" s="118"/>
      <c r="Z944" s="118"/>
    </row>
    <row r="945" spans="1:26" ht="14.25" customHeight="1">
      <c r="A945" s="118"/>
      <c r="B945" s="118"/>
      <c r="C945" s="118"/>
      <c r="D945" s="118"/>
      <c r="E945" s="118"/>
      <c r="F945" s="118"/>
      <c r="G945" s="118"/>
      <c r="H945" s="118"/>
      <c r="I945" s="118"/>
      <c r="J945" s="118"/>
      <c r="K945" s="118"/>
      <c r="L945" s="118"/>
      <c r="M945" s="118"/>
      <c r="N945" s="118"/>
      <c r="O945" s="118"/>
      <c r="P945" s="118"/>
      <c r="Q945" s="118"/>
      <c r="R945" s="118"/>
      <c r="S945" s="118"/>
      <c r="T945" s="118"/>
      <c r="U945" s="118"/>
      <c r="V945" s="118"/>
      <c r="W945" s="118"/>
      <c r="X945" s="118"/>
      <c r="Y945" s="118"/>
      <c r="Z945" s="118"/>
    </row>
    <row r="946" spans="1:26" ht="14.25" customHeight="1">
      <c r="A946" s="118"/>
      <c r="B946" s="118"/>
      <c r="C946" s="118"/>
      <c r="D946" s="118"/>
      <c r="E946" s="118"/>
      <c r="F946" s="118"/>
      <c r="G946" s="118"/>
      <c r="H946" s="118"/>
      <c r="I946" s="118"/>
      <c r="J946" s="118"/>
      <c r="K946" s="118"/>
      <c r="L946" s="118"/>
      <c r="M946" s="118"/>
      <c r="N946" s="118"/>
      <c r="O946" s="118"/>
      <c r="P946" s="118"/>
      <c r="Q946" s="118"/>
      <c r="R946" s="118"/>
      <c r="S946" s="118"/>
      <c r="T946" s="118"/>
      <c r="U946" s="118"/>
      <c r="V946" s="118"/>
      <c r="W946" s="118"/>
      <c r="X946" s="118"/>
      <c r="Y946" s="118"/>
      <c r="Z946" s="118"/>
    </row>
    <row r="947" spans="1:26" ht="14.25" customHeight="1">
      <c r="A947" s="118"/>
      <c r="B947" s="118"/>
      <c r="C947" s="118"/>
      <c r="D947" s="118"/>
      <c r="E947" s="118"/>
      <c r="F947" s="118"/>
      <c r="G947" s="118"/>
      <c r="H947" s="118"/>
      <c r="I947" s="118"/>
      <c r="J947" s="118"/>
      <c r="K947" s="118"/>
      <c r="L947" s="118"/>
      <c r="M947" s="118"/>
      <c r="N947" s="118"/>
      <c r="O947" s="118"/>
      <c r="P947" s="118"/>
      <c r="Q947" s="118"/>
      <c r="R947" s="118"/>
      <c r="S947" s="118"/>
      <c r="T947" s="118"/>
      <c r="U947" s="118"/>
      <c r="V947" s="118"/>
      <c r="W947" s="118"/>
      <c r="X947" s="118"/>
      <c r="Y947" s="118"/>
      <c r="Z947" s="118"/>
    </row>
    <row r="948" spans="1:26" ht="14.25" customHeight="1">
      <c r="A948" s="118"/>
      <c r="B948" s="118"/>
      <c r="C948" s="118"/>
      <c r="D948" s="118"/>
      <c r="E948" s="118"/>
      <c r="F948" s="118"/>
      <c r="G948" s="118"/>
      <c r="H948" s="118"/>
      <c r="I948" s="118"/>
      <c r="J948" s="118"/>
      <c r="K948" s="118"/>
      <c r="L948" s="118"/>
      <c r="M948" s="118"/>
      <c r="N948" s="118"/>
      <c r="O948" s="118"/>
      <c r="P948" s="118"/>
      <c r="Q948" s="118"/>
      <c r="R948" s="118"/>
      <c r="S948" s="118"/>
      <c r="T948" s="118"/>
      <c r="U948" s="118"/>
      <c r="V948" s="118"/>
      <c r="W948" s="118"/>
      <c r="X948" s="118"/>
      <c r="Y948" s="118"/>
      <c r="Z948" s="118"/>
    </row>
    <row r="949" spans="1:26" ht="14.25" customHeight="1">
      <c r="A949" s="118"/>
      <c r="B949" s="118"/>
      <c r="C949" s="118"/>
      <c r="D949" s="118"/>
      <c r="E949" s="118"/>
      <c r="F949" s="118"/>
      <c r="G949" s="118"/>
      <c r="H949" s="118"/>
      <c r="I949" s="118"/>
      <c r="J949" s="118"/>
      <c r="K949" s="118"/>
      <c r="L949" s="118"/>
      <c r="M949" s="118"/>
      <c r="N949" s="118"/>
      <c r="O949" s="118"/>
      <c r="P949" s="118"/>
      <c r="Q949" s="118"/>
      <c r="R949" s="118"/>
      <c r="S949" s="118"/>
      <c r="T949" s="118"/>
      <c r="U949" s="118"/>
      <c r="V949" s="118"/>
      <c r="W949" s="118"/>
      <c r="X949" s="118"/>
      <c r="Y949" s="118"/>
      <c r="Z949" s="118"/>
    </row>
    <row r="950" spans="1:26" ht="14.25" customHeight="1">
      <c r="A950" s="118"/>
      <c r="B950" s="118"/>
      <c r="C950" s="118"/>
      <c r="D950" s="118"/>
      <c r="E950" s="118"/>
      <c r="F950" s="118"/>
      <c r="G950" s="118"/>
      <c r="H950" s="118"/>
      <c r="I950" s="118"/>
      <c r="J950" s="118"/>
      <c r="K950" s="118"/>
      <c r="L950" s="118"/>
      <c r="M950" s="118"/>
      <c r="N950" s="118"/>
      <c r="O950" s="118"/>
      <c r="P950" s="118"/>
      <c r="Q950" s="118"/>
      <c r="R950" s="118"/>
      <c r="S950" s="118"/>
      <c r="T950" s="118"/>
      <c r="U950" s="118"/>
      <c r="V950" s="118"/>
      <c r="W950" s="118"/>
      <c r="X950" s="118"/>
      <c r="Y950" s="118"/>
      <c r="Z950" s="118"/>
    </row>
    <row r="951" spans="1:26" ht="14.25" customHeight="1">
      <c r="A951" s="118"/>
      <c r="B951" s="118"/>
      <c r="C951" s="118"/>
      <c r="D951" s="118"/>
      <c r="E951" s="118"/>
      <c r="F951" s="118"/>
      <c r="G951" s="118"/>
      <c r="H951" s="118"/>
      <c r="I951" s="118"/>
      <c r="J951" s="118"/>
      <c r="K951" s="118"/>
      <c r="L951" s="118"/>
      <c r="M951" s="118"/>
      <c r="N951" s="118"/>
      <c r="O951" s="118"/>
      <c r="P951" s="118"/>
      <c r="Q951" s="118"/>
      <c r="R951" s="118"/>
      <c r="S951" s="118"/>
      <c r="T951" s="118"/>
      <c r="U951" s="118"/>
      <c r="V951" s="118"/>
      <c r="W951" s="118"/>
      <c r="X951" s="118"/>
      <c r="Y951" s="118"/>
      <c r="Z951" s="118"/>
    </row>
    <row r="952" spans="1:26" ht="14.25" customHeight="1">
      <c r="A952" s="118"/>
      <c r="B952" s="118"/>
      <c r="C952" s="118"/>
      <c r="D952" s="118"/>
      <c r="E952" s="118"/>
      <c r="F952" s="118"/>
      <c r="G952" s="118"/>
      <c r="H952" s="118"/>
      <c r="I952" s="118"/>
      <c r="J952" s="118"/>
      <c r="K952" s="118"/>
      <c r="L952" s="118"/>
      <c r="M952" s="118"/>
      <c r="N952" s="118"/>
      <c r="O952" s="118"/>
      <c r="P952" s="118"/>
      <c r="Q952" s="118"/>
      <c r="R952" s="118"/>
      <c r="S952" s="118"/>
      <c r="T952" s="118"/>
      <c r="U952" s="118"/>
      <c r="V952" s="118"/>
      <c r="W952" s="118"/>
      <c r="X952" s="118"/>
      <c r="Y952" s="118"/>
      <c r="Z952" s="118"/>
    </row>
    <row r="953" spans="1:26" ht="14.25" customHeight="1">
      <c r="A953" s="118"/>
      <c r="B953" s="118"/>
      <c r="C953" s="118"/>
      <c r="D953" s="118"/>
      <c r="E953" s="118"/>
      <c r="F953" s="118"/>
      <c r="G953" s="118"/>
      <c r="H953" s="118"/>
      <c r="I953" s="118"/>
      <c r="J953" s="118"/>
      <c r="K953" s="118"/>
      <c r="L953" s="118"/>
      <c r="M953" s="118"/>
      <c r="N953" s="118"/>
      <c r="O953" s="118"/>
      <c r="P953" s="118"/>
      <c r="Q953" s="118"/>
      <c r="R953" s="118"/>
      <c r="S953" s="118"/>
      <c r="T953" s="118"/>
      <c r="U953" s="118"/>
      <c r="V953" s="118"/>
      <c r="W953" s="118"/>
      <c r="X953" s="118"/>
      <c r="Y953" s="118"/>
      <c r="Z953" s="118"/>
    </row>
    <row r="954" spans="1:26" ht="14.25" customHeight="1">
      <c r="A954" s="118"/>
      <c r="B954" s="118"/>
      <c r="C954" s="118"/>
      <c r="D954" s="118"/>
      <c r="E954" s="118"/>
      <c r="F954" s="118"/>
      <c r="G954" s="118"/>
      <c r="H954" s="118"/>
      <c r="I954" s="118"/>
      <c r="J954" s="118"/>
      <c r="K954" s="118"/>
      <c r="L954" s="118"/>
      <c r="M954" s="118"/>
      <c r="N954" s="118"/>
      <c r="O954" s="118"/>
      <c r="P954" s="118"/>
      <c r="Q954" s="118"/>
      <c r="R954" s="118"/>
      <c r="S954" s="118"/>
      <c r="T954" s="118"/>
      <c r="U954" s="118"/>
      <c r="V954" s="118"/>
      <c r="W954" s="118"/>
      <c r="X954" s="118"/>
      <c r="Y954" s="118"/>
      <c r="Z954" s="118"/>
    </row>
    <row r="955" spans="1:26" ht="14.25" customHeight="1">
      <c r="A955" s="118"/>
      <c r="B955" s="118"/>
      <c r="C955" s="118"/>
      <c r="D955" s="118"/>
      <c r="E955" s="118"/>
      <c r="F955" s="118"/>
      <c r="G955" s="118"/>
      <c r="H955" s="118"/>
      <c r="I955" s="118"/>
      <c r="J955" s="118"/>
      <c r="K955" s="118"/>
      <c r="L955" s="118"/>
      <c r="M955" s="118"/>
      <c r="N955" s="118"/>
      <c r="O955" s="118"/>
      <c r="P955" s="118"/>
      <c r="Q955" s="118"/>
      <c r="R955" s="118"/>
      <c r="S955" s="118"/>
      <c r="T955" s="118"/>
      <c r="U955" s="118"/>
      <c r="V955" s="118"/>
      <c r="W955" s="118"/>
      <c r="X955" s="118"/>
      <c r="Y955" s="118"/>
      <c r="Z955" s="118"/>
    </row>
    <row r="956" spans="1:26" ht="14.25" customHeight="1">
      <c r="A956" s="118"/>
      <c r="B956" s="118"/>
      <c r="C956" s="118"/>
      <c r="D956" s="118"/>
      <c r="E956" s="118"/>
      <c r="F956" s="118"/>
      <c r="G956" s="118"/>
      <c r="H956" s="118"/>
      <c r="I956" s="118"/>
      <c r="J956" s="118"/>
      <c r="K956" s="118"/>
      <c r="L956" s="118"/>
      <c r="M956" s="118"/>
      <c r="N956" s="118"/>
      <c r="O956" s="118"/>
      <c r="P956" s="118"/>
      <c r="Q956" s="118"/>
      <c r="R956" s="118"/>
      <c r="S956" s="118"/>
      <c r="T956" s="118"/>
      <c r="U956" s="118"/>
      <c r="V956" s="118"/>
      <c r="W956" s="118"/>
      <c r="X956" s="118"/>
      <c r="Y956" s="118"/>
      <c r="Z956" s="118"/>
    </row>
    <row r="957" spans="1:26" ht="14.25" customHeight="1">
      <c r="A957" s="118"/>
      <c r="B957" s="118"/>
      <c r="C957" s="118"/>
      <c r="D957" s="118"/>
      <c r="E957" s="118"/>
      <c r="F957" s="118"/>
      <c r="G957" s="118"/>
      <c r="H957" s="118"/>
      <c r="I957" s="118"/>
      <c r="J957" s="118"/>
      <c r="K957" s="118"/>
      <c r="L957" s="118"/>
      <c r="M957" s="118"/>
      <c r="N957" s="118"/>
      <c r="O957" s="118"/>
      <c r="P957" s="118"/>
      <c r="Q957" s="118"/>
      <c r="R957" s="118"/>
      <c r="S957" s="118"/>
      <c r="T957" s="118"/>
      <c r="U957" s="118"/>
      <c r="V957" s="118"/>
      <c r="W957" s="118"/>
      <c r="X957" s="118"/>
      <c r="Y957" s="118"/>
      <c r="Z957" s="118"/>
    </row>
    <row r="958" spans="1:26" ht="14.25" customHeight="1">
      <c r="A958" s="118"/>
      <c r="B958" s="118"/>
      <c r="C958" s="118"/>
      <c r="D958" s="118"/>
      <c r="E958" s="118"/>
      <c r="F958" s="118"/>
      <c r="G958" s="118"/>
      <c r="H958" s="118"/>
      <c r="I958" s="118"/>
      <c r="J958" s="118"/>
      <c r="K958" s="118"/>
      <c r="L958" s="118"/>
      <c r="M958" s="118"/>
      <c r="N958" s="118"/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  <c r="Y958" s="118"/>
      <c r="Z958" s="118"/>
    </row>
    <row r="959" spans="1:26" ht="14.25" customHeight="1">
      <c r="A959" s="118"/>
      <c r="B959" s="118"/>
      <c r="C959" s="118"/>
      <c r="D959" s="118"/>
      <c r="E959" s="118"/>
      <c r="F959" s="118"/>
      <c r="G959" s="118"/>
      <c r="H959" s="118"/>
      <c r="I959" s="118"/>
      <c r="J959" s="118"/>
      <c r="K959" s="118"/>
      <c r="L959" s="118"/>
      <c r="M959" s="118"/>
      <c r="N959" s="118"/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  <c r="Y959" s="118"/>
      <c r="Z959" s="118"/>
    </row>
    <row r="960" spans="1:26" ht="14.25" customHeight="1">
      <c r="A960" s="118"/>
      <c r="B960" s="118"/>
      <c r="C960" s="118"/>
      <c r="D960" s="118"/>
      <c r="E960" s="118"/>
      <c r="F960" s="118"/>
      <c r="G960" s="118"/>
      <c r="H960" s="118"/>
      <c r="I960" s="118"/>
      <c r="J960" s="118"/>
      <c r="K960" s="118"/>
      <c r="L960" s="118"/>
      <c r="M960" s="118"/>
      <c r="N960" s="118"/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  <c r="Y960" s="118"/>
      <c r="Z960" s="118"/>
    </row>
    <row r="961" spans="1:26" ht="14.25" customHeight="1">
      <c r="A961" s="118"/>
      <c r="B961" s="118"/>
      <c r="C961" s="118"/>
      <c r="D961" s="118"/>
      <c r="E961" s="118"/>
      <c r="F961" s="118"/>
      <c r="G961" s="118"/>
      <c r="H961" s="118"/>
      <c r="I961" s="118"/>
      <c r="J961" s="118"/>
      <c r="K961" s="118"/>
      <c r="L961" s="118"/>
      <c r="M961" s="118"/>
      <c r="N961" s="118"/>
      <c r="O961" s="118"/>
      <c r="P961" s="118"/>
      <c r="Q961" s="118"/>
      <c r="R961" s="118"/>
      <c r="S961" s="118"/>
      <c r="T961" s="118"/>
      <c r="U961" s="118"/>
      <c r="V961" s="118"/>
      <c r="W961" s="118"/>
      <c r="X961" s="118"/>
      <c r="Y961" s="118"/>
      <c r="Z961" s="118"/>
    </row>
    <row r="962" spans="1:26" ht="14.25" customHeight="1">
      <c r="A962" s="118"/>
      <c r="B962" s="118"/>
      <c r="C962" s="118"/>
      <c r="D962" s="118"/>
      <c r="E962" s="118"/>
      <c r="F962" s="118"/>
      <c r="G962" s="118"/>
      <c r="H962" s="118"/>
      <c r="I962" s="118"/>
      <c r="J962" s="118"/>
      <c r="K962" s="118"/>
      <c r="L962" s="118"/>
      <c r="M962" s="118"/>
      <c r="N962" s="118"/>
      <c r="O962" s="118"/>
      <c r="P962" s="118"/>
      <c r="Q962" s="118"/>
      <c r="R962" s="118"/>
      <c r="S962" s="118"/>
      <c r="T962" s="118"/>
      <c r="U962" s="118"/>
      <c r="V962" s="118"/>
      <c r="W962" s="118"/>
      <c r="X962" s="118"/>
      <c r="Y962" s="118"/>
      <c r="Z962" s="118"/>
    </row>
    <row r="963" spans="1:26" ht="14.25" customHeight="1">
      <c r="A963" s="118"/>
      <c r="B963" s="118"/>
      <c r="C963" s="118"/>
      <c r="D963" s="118"/>
      <c r="E963" s="118"/>
      <c r="F963" s="118"/>
      <c r="G963" s="118"/>
      <c r="H963" s="118"/>
      <c r="I963" s="118"/>
      <c r="J963" s="118"/>
      <c r="K963" s="118"/>
      <c r="L963" s="118"/>
      <c r="M963" s="118"/>
      <c r="N963" s="118"/>
      <c r="O963" s="118"/>
      <c r="P963" s="118"/>
      <c r="Q963" s="118"/>
      <c r="R963" s="118"/>
      <c r="S963" s="118"/>
      <c r="T963" s="118"/>
      <c r="U963" s="118"/>
      <c r="V963" s="118"/>
      <c r="W963" s="118"/>
      <c r="X963" s="118"/>
      <c r="Y963" s="118"/>
      <c r="Z963" s="118"/>
    </row>
    <row r="964" spans="1:26" ht="14.25" customHeight="1">
      <c r="A964" s="118"/>
      <c r="B964" s="118"/>
      <c r="C964" s="118"/>
      <c r="D964" s="118"/>
      <c r="E964" s="118"/>
      <c r="F964" s="118"/>
      <c r="G964" s="118"/>
      <c r="H964" s="118"/>
      <c r="I964" s="118"/>
      <c r="J964" s="118"/>
      <c r="K964" s="118"/>
      <c r="L964" s="118"/>
      <c r="M964" s="118"/>
      <c r="N964" s="118"/>
      <c r="O964" s="118"/>
      <c r="P964" s="118"/>
      <c r="Q964" s="118"/>
      <c r="R964" s="118"/>
      <c r="S964" s="118"/>
      <c r="T964" s="118"/>
      <c r="U964" s="118"/>
      <c r="V964" s="118"/>
      <c r="W964" s="118"/>
      <c r="X964" s="118"/>
      <c r="Y964" s="118"/>
      <c r="Z964" s="118"/>
    </row>
    <row r="965" spans="1:26" ht="14.25" customHeight="1">
      <c r="A965" s="118"/>
      <c r="B965" s="118"/>
      <c r="C965" s="118"/>
      <c r="D965" s="118"/>
      <c r="E965" s="118"/>
      <c r="F965" s="118"/>
      <c r="G965" s="118"/>
      <c r="H965" s="118"/>
      <c r="I965" s="118"/>
      <c r="J965" s="118"/>
      <c r="K965" s="118"/>
      <c r="L965" s="118"/>
      <c r="M965" s="118"/>
      <c r="N965" s="118"/>
      <c r="O965" s="118"/>
      <c r="P965" s="118"/>
      <c r="Q965" s="118"/>
      <c r="R965" s="118"/>
      <c r="S965" s="118"/>
      <c r="T965" s="118"/>
      <c r="U965" s="118"/>
      <c r="V965" s="118"/>
      <c r="W965" s="118"/>
      <c r="X965" s="118"/>
      <c r="Y965" s="118"/>
      <c r="Z965" s="118"/>
    </row>
    <row r="966" spans="1:26" ht="14.25" customHeight="1">
      <c r="A966" s="118"/>
      <c r="B966" s="118"/>
      <c r="C966" s="118"/>
      <c r="D966" s="118"/>
      <c r="E966" s="118"/>
      <c r="F966" s="118"/>
      <c r="G966" s="118"/>
      <c r="H966" s="118"/>
      <c r="I966" s="118"/>
      <c r="J966" s="118"/>
      <c r="K966" s="118"/>
      <c r="L966" s="118"/>
      <c r="M966" s="118"/>
      <c r="N966" s="118"/>
      <c r="O966" s="118"/>
      <c r="P966" s="118"/>
      <c r="Q966" s="118"/>
      <c r="R966" s="118"/>
      <c r="S966" s="118"/>
      <c r="T966" s="118"/>
      <c r="U966" s="118"/>
      <c r="V966" s="118"/>
      <c r="W966" s="118"/>
      <c r="X966" s="118"/>
      <c r="Y966" s="118"/>
      <c r="Z966" s="118"/>
    </row>
    <row r="967" spans="1:26" ht="14.25" customHeight="1">
      <c r="A967" s="118"/>
      <c r="B967" s="118"/>
      <c r="C967" s="118"/>
      <c r="D967" s="118"/>
      <c r="E967" s="118"/>
      <c r="F967" s="118"/>
      <c r="G967" s="118"/>
      <c r="H967" s="118"/>
      <c r="I967" s="118"/>
      <c r="J967" s="118"/>
      <c r="K967" s="118"/>
      <c r="L967" s="118"/>
      <c r="M967" s="118"/>
      <c r="N967" s="118"/>
      <c r="O967" s="118"/>
      <c r="P967" s="118"/>
      <c r="Q967" s="118"/>
      <c r="R967" s="118"/>
      <c r="S967" s="118"/>
      <c r="T967" s="118"/>
      <c r="U967" s="118"/>
      <c r="V967" s="118"/>
      <c r="W967" s="118"/>
      <c r="X967" s="118"/>
      <c r="Y967" s="118"/>
      <c r="Z967" s="118"/>
    </row>
    <row r="968" spans="1:26" ht="14.25" customHeight="1">
      <c r="A968" s="118"/>
      <c r="B968" s="118"/>
      <c r="C968" s="118"/>
      <c r="D968" s="118"/>
      <c r="E968" s="118"/>
      <c r="F968" s="118"/>
      <c r="G968" s="118"/>
      <c r="H968" s="118"/>
      <c r="I968" s="118"/>
      <c r="J968" s="118"/>
      <c r="K968" s="118"/>
      <c r="L968" s="118"/>
      <c r="M968" s="118"/>
      <c r="N968" s="118"/>
      <c r="O968" s="118"/>
      <c r="P968" s="118"/>
      <c r="Q968" s="118"/>
      <c r="R968" s="118"/>
      <c r="S968" s="118"/>
      <c r="T968" s="118"/>
      <c r="U968" s="118"/>
      <c r="V968" s="118"/>
      <c r="W968" s="118"/>
      <c r="X968" s="118"/>
      <c r="Y968" s="118"/>
      <c r="Z968" s="118"/>
    </row>
    <row r="969" spans="1:26" ht="14.25" customHeight="1">
      <c r="A969" s="118"/>
      <c r="B969" s="118"/>
      <c r="C969" s="118"/>
      <c r="D969" s="118"/>
      <c r="E969" s="118"/>
      <c r="F969" s="118"/>
      <c r="G969" s="118"/>
      <c r="H969" s="118"/>
      <c r="I969" s="118"/>
      <c r="J969" s="118"/>
      <c r="K969" s="118"/>
      <c r="L969" s="118"/>
      <c r="M969" s="118"/>
      <c r="N969" s="118"/>
      <c r="O969" s="118"/>
      <c r="P969" s="118"/>
      <c r="Q969" s="118"/>
      <c r="R969" s="118"/>
      <c r="S969" s="118"/>
      <c r="T969" s="118"/>
      <c r="U969" s="118"/>
      <c r="V969" s="118"/>
      <c r="W969" s="118"/>
      <c r="X969" s="118"/>
      <c r="Y969" s="118"/>
      <c r="Z969" s="118"/>
    </row>
    <row r="970" spans="1:26" ht="14.25" customHeight="1">
      <c r="A970" s="118"/>
      <c r="B970" s="118"/>
      <c r="C970" s="118"/>
      <c r="D970" s="118"/>
      <c r="E970" s="118"/>
      <c r="F970" s="118"/>
      <c r="G970" s="118"/>
      <c r="H970" s="118"/>
      <c r="I970" s="118"/>
      <c r="J970" s="118"/>
      <c r="K970" s="118"/>
      <c r="L970" s="118"/>
      <c r="M970" s="118"/>
      <c r="N970" s="118"/>
      <c r="O970" s="118"/>
      <c r="P970" s="118"/>
      <c r="Q970" s="118"/>
      <c r="R970" s="118"/>
      <c r="S970" s="118"/>
      <c r="T970" s="118"/>
      <c r="U970" s="118"/>
      <c r="V970" s="118"/>
      <c r="W970" s="118"/>
      <c r="X970" s="118"/>
      <c r="Y970" s="118"/>
      <c r="Z970" s="118"/>
    </row>
    <row r="971" spans="1:26" ht="14.25" customHeight="1">
      <c r="A971" s="118"/>
      <c r="B971" s="118"/>
      <c r="C971" s="118"/>
      <c r="D971" s="118"/>
      <c r="E971" s="118"/>
      <c r="F971" s="118"/>
      <c r="G971" s="118"/>
      <c r="H971" s="118"/>
      <c r="I971" s="118"/>
      <c r="J971" s="118"/>
      <c r="K971" s="118"/>
      <c r="L971" s="118"/>
      <c r="M971" s="118"/>
      <c r="N971" s="118"/>
      <c r="O971" s="118"/>
      <c r="P971" s="118"/>
      <c r="Q971" s="118"/>
      <c r="R971" s="118"/>
      <c r="S971" s="118"/>
      <c r="T971" s="118"/>
      <c r="U971" s="118"/>
      <c r="V971" s="118"/>
      <c r="W971" s="118"/>
      <c r="X971" s="118"/>
      <c r="Y971" s="118"/>
      <c r="Z971" s="118"/>
    </row>
    <row r="972" spans="1:26" ht="14.25" customHeight="1">
      <c r="A972" s="118"/>
      <c r="B972" s="118"/>
      <c r="C972" s="118"/>
      <c r="D972" s="118"/>
      <c r="E972" s="118"/>
      <c r="F972" s="118"/>
      <c r="G972" s="118"/>
      <c r="H972" s="118"/>
      <c r="I972" s="118"/>
      <c r="J972" s="118"/>
      <c r="K972" s="118"/>
      <c r="L972" s="118"/>
      <c r="M972" s="118"/>
      <c r="N972" s="118"/>
      <c r="O972" s="118"/>
      <c r="P972" s="118"/>
      <c r="Q972" s="118"/>
      <c r="R972" s="118"/>
      <c r="S972" s="118"/>
      <c r="T972" s="118"/>
      <c r="U972" s="118"/>
      <c r="V972" s="118"/>
      <c r="W972" s="118"/>
      <c r="X972" s="118"/>
      <c r="Y972" s="118"/>
      <c r="Z972" s="118"/>
    </row>
    <row r="973" spans="1:26" ht="14.25" customHeight="1">
      <c r="A973" s="118"/>
      <c r="B973" s="118"/>
      <c r="C973" s="118"/>
      <c r="D973" s="118"/>
      <c r="E973" s="118"/>
      <c r="F973" s="118"/>
      <c r="G973" s="118"/>
      <c r="H973" s="118"/>
      <c r="I973" s="118"/>
      <c r="J973" s="118"/>
      <c r="K973" s="118"/>
      <c r="L973" s="118"/>
      <c r="M973" s="118"/>
      <c r="N973" s="118"/>
      <c r="O973" s="118"/>
      <c r="P973" s="118"/>
      <c r="Q973" s="118"/>
      <c r="R973" s="118"/>
      <c r="S973" s="118"/>
      <c r="T973" s="118"/>
      <c r="U973" s="118"/>
      <c r="V973" s="118"/>
      <c r="W973" s="118"/>
      <c r="X973" s="118"/>
      <c r="Y973" s="118"/>
      <c r="Z973" s="118"/>
    </row>
    <row r="974" spans="1:26" ht="14.25" customHeight="1">
      <c r="A974" s="118"/>
      <c r="B974" s="118"/>
      <c r="C974" s="118"/>
      <c r="D974" s="118"/>
      <c r="E974" s="118"/>
      <c r="F974" s="118"/>
      <c r="G974" s="118"/>
      <c r="H974" s="118"/>
      <c r="I974" s="118"/>
      <c r="J974" s="118"/>
      <c r="K974" s="118"/>
      <c r="L974" s="118"/>
      <c r="M974" s="118"/>
      <c r="N974" s="118"/>
      <c r="O974" s="118"/>
      <c r="P974" s="118"/>
      <c r="Q974" s="118"/>
      <c r="R974" s="118"/>
      <c r="S974" s="118"/>
      <c r="T974" s="118"/>
      <c r="U974" s="118"/>
      <c r="V974" s="118"/>
      <c r="W974" s="118"/>
      <c r="X974" s="118"/>
      <c r="Y974" s="118"/>
      <c r="Z974" s="118"/>
    </row>
    <row r="975" spans="1:26" ht="14.25" customHeight="1">
      <c r="A975" s="118"/>
      <c r="B975" s="118"/>
      <c r="C975" s="118"/>
      <c r="D975" s="118"/>
      <c r="E975" s="118"/>
      <c r="F975" s="118"/>
      <c r="G975" s="118"/>
      <c r="H975" s="118"/>
      <c r="I975" s="118"/>
      <c r="J975" s="118"/>
      <c r="K975" s="118"/>
      <c r="L975" s="118"/>
      <c r="M975" s="118"/>
      <c r="N975" s="118"/>
      <c r="O975" s="118"/>
      <c r="P975" s="118"/>
      <c r="Q975" s="118"/>
      <c r="R975" s="118"/>
      <c r="S975" s="118"/>
      <c r="T975" s="118"/>
      <c r="U975" s="118"/>
      <c r="V975" s="118"/>
      <c r="W975" s="118"/>
      <c r="X975" s="118"/>
      <c r="Y975" s="118"/>
      <c r="Z975" s="118"/>
    </row>
    <row r="976" spans="1:26" ht="14.25" customHeight="1">
      <c r="A976" s="118"/>
      <c r="B976" s="118"/>
      <c r="C976" s="118"/>
      <c r="D976" s="118"/>
      <c r="E976" s="118"/>
      <c r="F976" s="118"/>
      <c r="G976" s="118"/>
      <c r="H976" s="118"/>
      <c r="I976" s="118"/>
      <c r="J976" s="118"/>
      <c r="K976" s="118"/>
      <c r="L976" s="118"/>
      <c r="M976" s="118"/>
      <c r="N976" s="118"/>
      <c r="O976" s="118"/>
      <c r="P976" s="118"/>
      <c r="Q976" s="118"/>
      <c r="R976" s="118"/>
      <c r="S976" s="118"/>
      <c r="T976" s="118"/>
      <c r="U976" s="118"/>
      <c r="V976" s="118"/>
      <c r="W976" s="118"/>
      <c r="X976" s="118"/>
      <c r="Y976" s="118"/>
      <c r="Z976" s="118"/>
    </row>
    <row r="977" spans="1:26" ht="14.25" customHeight="1">
      <c r="A977" s="118"/>
      <c r="B977" s="118"/>
      <c r="C977" s="118"/>
      <c r="D977" s="118"/>
      <c r="E977" s="118"/>
      <c r="F977" s="118"/>
      <c r="G977" s="118"/>
      <c r="H977" s="118"/>
      <c r="I977" s="118"/>
      <c r="J977" s="118"/>
      <c r="K977" s="118"/>
      <c r="L977" s="118"/>
      <c r="M977" s="118"/>
      <c r="N977" s="118"/>
      <c r="O977" s="118"/>
      <c r="P977" s="118"/>
      <c r="Q977" s="118"/>
      <c r="R977" s="118"/>
      <c r="S977" s="118"/>
      <c r="T977" s="118"/>
      <c r="U977" s="118"/>
      <c r="V977" s="118"/>
      <c r="W977" s="118"/>
      <c r="X977" s="118"/>
      <c r="Y977" s="118"/>
      <c r="Z977" s="118"/>
    </row>
    <row r="978" spans="1:26" ht="14.25" customHeight="1">
      <c r="A978" s="118"/>
      <c r="B978" s="118"/>
      <c r="C978" s="118"/>
      <c r="D978" s="118"/>
      <c r="E978" s="118"/>
      <c r="F978" s="118"/>
      <c r="G978" s="118"/>
      <c r="H978" s="118"/>
      <c r="I978" s="118"/>
      <c r="J978" s="118"/>
      <c r="K978" s="118"/>
      <c r="L978" s="118"/>
      <c r="M978" s="118"/>
      <c r="N978" s="118"/>
      <c r="O978" s="118"/>
      <c r="P978" s="118"/>
      <c r="Q978" s="118"/>
      <c r="R978" s="118"/>
      <c r="S978" s="118"/>
      <c r="T978" s="118"/>
      <c r="U978" s="118"/>
      <c r="V978" s="118"/>
      <c r="W978" s="118"/>
      <c r="X978" s="118"/>
      <c r="Y978" s="118"/>
      <c r="Z978" s="118"/>
    </row>
    <row r="979" spans="1:26" ht="14.25" customHeight="1">
      <c r="A979" s="118"/>
      <c r="B979" s="118"/>
      <c r="C979" s="118"/>
      <c r="D979" s="118"/>
      <c r="E979" s="118"/>
      <c r="F979" s="118"/>
      <c r="G979" s="118"/>
      <c r="H979" s="118"/>
      <c r="I979" s="118"/>
      <c r="J979" s="118"/>
      <c r="K979" s="118"/>
      <c r="L979" s="118"/>
      <c r="M979" s="118"/>
      <c r="N979" s="118"/>
      <c r="O979" s="118"/>
      <c r="P979" s="118"/>
      <c r="Q979" s="118"/>
      <c r="R979" s="118"/>
      <c r="S979" s="118"/>
      <c r="T979" s="118"/>
      <c r="U979" s="118"/>
      <c r="V979" s="118"/>
      <c r="W979" s="118"/>
      <c r="X979" s="118"/>
      <c r="Y979" s="118"/>
      <c r="Z979" s="118"/>
    </row>
    <row r="980" spans="1:26" ht="14.25" customHeight="1">
      <c r="A980" s="118"/>
      <c r="B980" s="118"/>
      <c r="C980" s="118"/>
      <c r="D980" s="118"/>
      <c r="E980" s="118"/>
      <c r="F980" s="118"/>
      <c r="G980" s="118"/>
      <c r="H980" s="118"/>
      <c r="I980" s="118"/>
      <c r="J980" s="118"/>
      <c r="K980" s="118"/>
      <c r="L980" s="118"/>
      <c r="M980" s="118"/>
      <c r="N980" s="118"/>
      <c r="O980" s="118"/>
      <c r="P980" s="118"/>
      <c r="Q980" s="118"/>
      <c r="R980" s="118"/>
      <c r="S980" s="118"/>
      <c r="T980" s="118"/>
      <c r="U980" s="118"/>
      <c r="V980" s="118"/>
      <c r="W980" s="118"/>
      <c r="X980" s="118"/>
      <c r="Y980" s="118"/>
      <c r="Z980" s="118"/>
    </row>
    <row r="981" spans="1:26" ht="14.25" customHeight="1">
      <c r="A981" s="118"/>
      <c r="B981" s="118"/>
      <c r="C981" s="118"/>
      <c r="D981" s="118"/>
      <c r="E981" s="118"/>
      <c r="F981" s="118"/>
      <c r="G981" s="118"/>
      <c r="H981" s="118"/>
      <c r="I981" s="118"/>
      <c r="J981" s="118"/>
      <c r="K981" s="118"/>
      <c r="L981" s="118"/>
      <c r="M981" s="118"/>
      <c r="N981" s="118"/>
      <c r="O981" s="118"/>
      <c r="P981" s="118"/>
      <c r="Q981" s="118"/>
      <c r="R981" s="118"/>
      <c r="S981" s="118"/>
      <c r="T981" s="118"/>
      <c r="U981" s="118"/>
      <c r="V981" s="118"/>
      <c r="W981" s="118"/>
      <c r="X981" s="118"/>
      <c r="Y981" s="118"/>
      <c r="Z981" s="118"/>
    </row>
    <row r="982" spans="1:26" ht="14.25" customHeight="1">
      <c r="A982" s="118"/>
      <c r="B982" s="118"/>
      <c r="C982" s="118"/>
      <c r="D982" s="118"/>
      <c r="E982" s="118"/>
      <c r="F982" s="118"/>
      <c r="G982" s="118"/>
      <c r="H982" s="118"/>
      <c r="I982" s="118"/>
      <c r="J982" s="118"/>
      <c r="K982" s="118"/>
      <c r="L982" s="118"/>
      <c r="M982" s="118"/>
      <c r="N982" s="118"/>
      <c r="O982" s="118"/>
      <c r="P982" s="118"/>
      <c r="Q982" s="118"/>
      <c r="R982" s="118"/>
      <c r="S982" s="118"/>
      <c r="T982" s="118"/>
      <c r="U982" s="118"/>
      <c r="V982" s="118"/>
      <c r="W982" s="118"/>
      <c r="X982" s="118"/>
      <c r="Y982" s="118"/>
      <c r="Z982" s="118"/>
    </row>
    <row r="983" spans="1:26" ht="14.25" customHeight="1">
      <c r="A983" s="118"/>
      <c r="B983" s="118"/>
      <c r="C983" s="118"/>
      <c r="D983" s="118"/>
      <c r="E983" s="118"/>
      <c r="F983" s="118"/>
      <c r="G983" s="118"/>
      <c r="H983" s="118"/>
      <c r="I983" s="118"/>
      <c r="J983" s="118"/>
      <c r="K983" s="118"/>
      <c r="L983" s="118"/>
      <c r="M983" s="118"/>
      <c r="N983" s="118"/>
      <c r="O983" s="118"/>
      <c r="P983" s="118"/>
      <c r="Q983" s="118"/>
      <c r="R983" s="118"/>
      <c r="S983" s="118"/>
      <c r="T983" s="118"/>
      <c r="U983" s="118"/>
      <c r="V983" s="118"/>
      <c r="W983" s="118"/>
      <c r="X983" s="118"/>
      <c r="Y983" s="118"/>
      <c r="Z983" s="118"/>
    </row>
    <row r="984" spans="1:26" ht="14.25" customHeight="1">
      <c r="A984" s="118"/>
      <c r="B984" s="118"/>
      <c r="C984" s="118"/>
      <c r="D984" s="118"/>
      <c r="E984" s="118"/>
      <c r="F984" s="118"/>
      <c r="G984" s="118"/>
      <c r="H984" s="118"/>
      <c r="I984" s="118"/>
      <c r="J984" s="118"/>
      <c r="K984" s="118"/>
      <c r="L984" s="118"/>
      <c r="M984" s="118"/>
      <c r="N984" s="118"/>
      <c r="O984" s="118"/>
      <c r="P984" s="118"/>
      <c r="Q984" s="118"/>
      <c r="R984" s="118"/>
      <c r="S984" s="118"/>
      <c r="T984" s="118"/>
      <c r="U984" s="118"/>
      <c r="V984" s="118"/>
      <c r="W984" s="118"/>
      <c r="X984" s="118"/>
      <c r="Y984" s="118"/>
      <c r="Z984" s="118"/>
    </row>
    <row r="985" spans="1:26" ht="14.25" customHeight="1">
      <c r="A985" s="118"/>
      <c r="B985" s="118"/>
      <c r="C985" s="118"/>
      <c r="D985" s="118"/>
      <c r="E985" s="118"/>
      <c r="F985" s="118"/>
      <c r="G985" s="118"/>
      <c r="H985" s="118"/>
      <c r="I985" s="118"/>
      <c r="J985" s="118"/>
      <c r="K985" s="118"/>
      <c r="L985" s="118"/>
      <c r="M985" s="118"/>
      <c r="N985" s="118"/>
      <c r="O985" s="118"/>
      <c r="P985" s="118"/>
      <c r="Q985" s="118"/>
      <c r="R985" s="118"/>
      <c r="S985" s="118"/>
      <c r="T985" s="118"/>
      <c r="U985" s="118"/>
      <c r="V985" s="118"/>
      <c r="W985" s="118"/>
      <c r="X985" s="118"/>
      <c r="Y985" s="118"/>
      <c r="Z985" s="118"/>
    </row>
    <row r="986" spans="1:26" ht="14.25" customHeight="1">
      <c r="A986" s="118"/>
      <c r="B986" s="118"/>
      <c r="C986" s="118"/>
      <c r="D986" s="118"/>
      <c r="E986" s="118"/>
      <c r="F986" s="118"/>
      <c r="G986" s="118"/>
      <c r="H986" s="118"/>
      <c r="I986" s="118"/>
      <c r="J986" s="118"/>
      <c r="K986" s="118"/>
      <c r="L986" s="118"/>
      <c r="M986" s="118"/>
      <c r="N986" s="118"/>
      <c r="O986" s="118"/>
      <c r="P986" s="118"/>
      <c r="Q986" s="118"/>
      <c r="R986" s="118"/>
      <c r="S986" s="118"/>
      <c r="T986" s="118"/>
      <c r="U986" s="118"/>
      <c r="V986" s="118"/>
      <c r="W986" s="118"/>
      <c r="X986" s="118"/>
      <c r="Y986" s="118"/>
      <c r="Z986" s="118"/>
    </row>
    <row r="987" spans="1:26" ht="14.25" customHeight="1">
      <c r="A987" s="118"/>
      <c r="B987" s="118"/>
      <c r="C987" s="118"/>
      <c r="D987" s="118"/>
      <c r="E987" s="118"/>
      <c r="F987" s="118"/>
      <c r="G987" s="118"/>
      <c r="H987" s="118"/>
      <c r="I987" s="118"/>
      <c r="J987" s="118"/>
      <c r="K987" s="118"/>
      <c r="L987" s="118"/>
      <c r="M987" s="118"/>
      <c r="N987" s="118"/>
      <c r="O987" s="118"/>
      <c r="P987" s="118"/>
      <c r="Q987" s="118"/>
      <c r="R987" s="118"/>
      <c r="S987" s="118"/>
      <c r="T987" s="118"/>
      <c r="U987" s="118"/>
      <c r="V987" s="118"/>
      <c r="W987" s="118"/>
      <c r="X987" s="118"/>
      <c r="Y987" s="118"/>
      <c r="Z987" s="118"/>
    </row>
    <row r="988" spans="1:26" ht="14.25" customHeight="1">
      <c r="A988" s="118"/>
      <c r="B988" s="118"/>
      <c r="C988" s="118"/>
      <c r="D988" s="118"/>
      <c r="E988" s="118"/>
      <c r="F988" s="118"/>
      <c r="G988" s="118"/>
      <c r="H988" s="118"/>
      <c r="I988" s="118"/>
      <c r="J988" s="118"/>
      <c r="K988" s="118"/>
      <c r="L988" s="118"/>
      <c r="M988" s="118"/>
      <c r="N988" s="118"/>
      <c r="O988" s="118"/>
      <c r="P988" s="118"/>
      <c r="Q988" s="118"/>
      <c r="R988" s="118"/>
      <c r="S988" s="118"/>
      <c r="T988" s="118"/>
      <c r="U988" s="118"/>
      <c r="V988" s="118"/>
      <c r="W988" s="118"/>
      <c r="X988" s="118"/>
      <c r="Y988" s="118"/>
      <c r="Z988" s="118"/>
    </row>
    <row r="989" spans="1:26" ht="14.25" customHeight="1">
      <c r="A989" s="118"/>
      <c r="B989" s="118"/>
      <c r="C989" s="118"/>
      <c r="D989" s="118"/>
      <c r="E989" s="118"/>
      <c r="F989" s="118"/>
      <c r="G989" s="118"/>
      <c r="H989" s="118"/>
      <c r="I989" s="118"/>
      <c r="J989" s="118"/>
      <c r="K989" s="118"/>
      <c r="L989" s="118"/>
      <c r="M989" s="118"/>
      <c r="N989" s="118"/>
      <c r="O989" s="118"/>
      <c r="P989" s="118"/>
      <c r="Q989" s="118"/>
      <c r="R989" s="118"/>
      <c r="S989" s="118"/>
      <c r="T989" s="118"/>
      <c r="U989" s="118"/>
      <c r="V989" s="118"/>
      <c r="W989" s="118"/>
      <c r="X989" s="118"/>
      <c r="Y989" s="118"/>
      <c r="Z989" s="118"/>
    </row>
    <row r="990" spans="1:26" ht="14.25" customHeight="1">
      <c r="A990" s="118"/>
      <c r="B990" s="118"/>
      <c r="C990" s="118"/>
      <c r="D990" s="118"/>
      <c r="E990" s="118"/>
      <c r="F990" s="118"/>
      <c r="G990" s="118"/>
      <c r="H990" s="118"/>
      <c r="I990" s="118"/>
      <c r="J990" s="118"/>
      <c r="K990" s="118"/>
      <c r="L990" s="118"/>
      <c r="M990" s="118"/>
      <c r="N990" s="118"/>
      <c r="O990" s="118"/>
      <c r="P990" s="118"/>
      <c r="Q990" s="118"/>
      <c r="R990" s="118"/>
      <c r="S990" s="118"/>
      <c r="T990" s="118"/>
      <c r="U990" s="118"/>
      <c r="V990" s="118"/>
      <c r="W990" s="118"/>
      <c r="X990" s="118"/>
      <c r="Y990" s="118"/>
      <c r="Z990" s="118"/>
    </row>
    <row r="991" spans="1:26" ht="14.25" customHeight="1">
      <c r="A991" s="118"/>
      <c r="B991" s="118"/>
      <c r="C991" s="118"/>
      <c r="D991" s="118"/>
      <c r="E991" s="118"/>
      <c r="F991" s="118"/>
      <c r="G991" s="118"/>
      <c r="H991" s="118"/>
      <c r="I991" s="118"/>
      <c r="J991" s="118"/>
      <c r="K991" s="118"/>
      <c r="L991" s="118"/>
      <c r="M991" s="118"/>
      <c r="N991" s="118"/>
      <c r="O991" s="118"/>
      <c r="P991" s="118"/>
      <c r="Q991" s="118"/>
      <c r="R991" s="118"/>
      <c r="S991" s="118"/>
      <c r="T991" s="118"/>
      <c r="U991" s="118"/>
      <c r="V991" s="118"/>
      <c r="W991" s="118"/>
      <c r="X991" s="118"/>
      <c r="Y991" s="118"/>
      <c r="Z991" s="118"/>
    </row>
    <row r="992" spans="1:26" ht="14.25" customHeight="1">
      <c r="A992" s="118"/>
      <c r="B992" s="118"/>
      <c r="C992" s="118"/>
      <c r="D992" s="118"/>
      <c r="E992" s="118"/>
      <c r="F992" s="118"/>
      <c r="G992" s="118"/>
      <c r="H992" s="118"/>
      <c r="I992" s="118"/>
      <c r="J992" s="118"/>
      <c r="K992" s="118"/>
      <c r="L992" s="118"/>
      <c r="M992" s="118"/>
      <c r="N992" s="118"/>
      <c r="O992" s="118"/>
      <c r="P992" s="118"/>
      <c r="Q992" s="118"/>
      <c r="R992" s="118"/>
      <c r="S992" s="118"/>
      <c r="T992" s="118"/>
      <c r="U992" s="118"/>
      <c r="V992" s="118"/>
      <c r="W992" s="118"/>
      <c r="X992" s="118"/>
      <c r="Y992" s="118"/>
      <c r="Z992" s="118"/>
    </row>
    <row r="993" spans="1:26" ht="14.25" customHeight="1">
      <c r="A993" s="118"/>
      <c r="B993" s="118"/>
      <c r="C993" s="118"/>
      <c r="D993" s="118"/>
      <c r="E993" s="118"/>
      <c r="F993" s="118"/>
      <c r="G993" s="118"/>
      <c r="H993" s="118"/>
      <c r="I993" s="118"/>
      <c r="J993" s="118"/>
      <c r="K993" s="118"/>
      <c r="L993" s="118"/>
      <c r="M993" s="118"/>
      <c r="N993" s="118"/>
      <c r="O993" s="118"/>
      <c r="P993" s="118"/>
      <c r="Q993" s="118"/>
      <c r="R993" s="118"/>
      <c r="S993" s="118"/>
      <c r="T993" s="118"/>
      <c r="U993" s="118"/>
      <c r="V993" s="118"/>
      <c r="W993" s="118"/>
      <c r="X993" s="118"/>
      <c r="Y993" s="118"/>
      <c r="Z993" s="118"/>
    </row>
    <row r="994" spans="1:26" ht="14.25" customHeight="1">
      <c r="A994" s="118"/>
      <c r="B994" s="118"/>
      <c r="C994" s="118"/>
      <c r="D994" s="118"/>
      <c r="E994" s="118"/>
      <c r="F994" s="118"/>
      <c r="G994" s="118"/>
      <c r="H994" s="118"/>
      <c r="I994" s="118"/>
      <c r="J994" s="118"/>
      <c r="K994" s="118"/>
      <c r="L994" s="118"/>
      <c r="M994" s="118"/>
      <c r="N994" s="118"/>
      <c r="O994" s="118"/>
      <c r="P994" s="118"/>
      <c r="Q994" s="118"/>
      <c r="R994" s="118"/>
      <c r="S994" s="118"/>
      <c r="T994" s="118"/>
      <c r="U994" s="118"/>
      <c r="V994" s="118"/>
      <c r="W994" s="118"/>
      <c r="X994" s="118"/>
      <c r="Y994" s="118"/>
      <c r="Z994" s="118"/>
    </row>
    <row r="995" spans="1:26" ht="14.25" customHeight="1">
      <c r="A995" s="118"/>
      <c r="B995" s="118"/>
      <c r="C995" s="118"/>
      <c r="D995" s="118"/>
      <c r="E995" s="118"/>
      <c r="F995" s="118"/>
      <c r="G995" s="118"/>
      <c r="H995" s="118"/>
      <c r="I995" s="118"/>
      <c r="J995" s="118"/>
      <c r="K995" s="118"/>
      <c r="L995" s="118"/>
      <c r="M995" s="118"/>
      <c r="N995" s="118"/>
      <c r="O995" s="118"/>
      <c r="P995" s="118"/>
      <c r="Q995" s="118"/>
      <c r="R995" s="118"/>
      <c r="S995" s="118"/>
      <c r="T995" s="118"/>
      <c r="U995" s="118"/>
      <c r="V995" s="118"/>
      <c r="W995" s="118"/>
      <c r="X995" s="118"/>
      <c r="Y995" s="118"/>
      <c r="Z995" s="118"/>
    </row>
    <row r="996" spans="1:26" ht="14.25" customHeight="1">
      <c r="A996" s="118"/>
      <c r="B996" s="118"/>
      <c r="C996" s="118"/>
      <c r="D996" s="118"/>
      <c r="E996" s="118"/>
      <c r="F996" s="118"/>
      <c r="G996" s="118"/>
      <c r="H996" s="118"/>
      <c r="I996" s="118"/>
      <c r="J996" s="118"/>
      <c r="K996" s="118"/>
      <c r="L996" s="118"/>
      <c r="M996" s="118"/>
      <c r="N996" s="118"/>
      <c r="O996" s="118"/>
      <c r="P996" s="118"/>
      <c r="Q996" s="118"/>
      <c r="R996" s="118"/>
      <c r="S996" s="118"/>
      <c r="T996" s="118"/>
      <c r="U996" s="118"/>
      <c r="V996" s="118"/>
      <c r="W996" s="118"/>
      <c r="X996" s="118"/>
      <c r="Y996" s="118"/>
      <c r="Z996" s="118"/>
    </row>
    <row r="997" spans="1:26" ht="14.25" customHeight="1">
      <c r="A997" s="118"/>
      <c r="B997" s="118"/>
      <c r="C997" s="118"/>
      <c r="D997" s="118"/>
      <c r="E997" s="118"/>
      <c r="F997" s="118"/>
      <c r="G997" s="118"/>
      <c r="H997" s="118"/>
      <c r="I997" s="118"/>
      <c r="J997" s="118"/>
      <c r="K997" s="118"/>
      <c r="L997" s="118"/>
      <c r="M997" s="118"/>
      <c r="N997" s="118"/>
      <c r="O997" s="118"/>
      <c r="P997" s="118"/>
      <c r="Q997" s="118"/>
      <c r="R997" s="118"/>
      <c r="S997" s="118"/>
      <c r="T997" s="118"/>
      <c r="U997" s="118"/>
      <c r="V997" s="118"/>
      <c r="W997" s="118"/>
      <c r="X997" s="118"/>
      <c r="Y997" s="118"/>
      <c r="Z997" s="118"/>
    </row>
    <row r="998" spans="1:26" ht="14.25" customHeight="1">
      <c r="A998" s="118"/>
      <c r="B998" s="118"/>
      <c r="C998" s="118"/>
      <c r="D998" s="118"/>
      <c r="E998" s="118"/>
      <c r="F998" s="118"/>
      <c r="G998" s="118"/>
      <c r="H998" s="118"/>
      <c r="I998" s="118"/>
      <c r="J998" s="118"/>
      <c r="K998" s="118"/>
      <c r="L998" s="118"/>
      <c r="M998" s="118"/>
      <c r="N998" s="118"/>
      <c r="O998" s="118"/>
      <c r="P998" s="118"/>
      <c r="Q998" s="118"/>
      <c r="R998" s="118"/>
      <c r="S998" s="118"/>
      <c r="T998" s="118"/>
      <c r="U998" s="118"/>
      <c r="V998" s="118"/>
      <c r="W998" s="118"/>
      <c r="X998" s="118"/>
      <c r="Y998" s="118"/>
      <c r="Z998" s="118"/>
    </row>
    <row r="999" spans="1:26" ht="14.25" customHeight="1">
      <c r="A999" s="118"/>
      <c r="B999" s="118"/>
      <c r="C999" s="118"/>
      <c r="D999" s="118"/>
      <c r="E999" s="118"/>
      <c r="F999" s="118"/>
      <c r="G999" s="118"/>
      <c r="H999" s="118"/>
      <c r="I999" s="118"/>
      <c r="J999" s="118"/>
      <c r="K999" s="118"/>
      <c r="L999" s="118"/>
      <c r="M999" s="118"/>
      <c r="N999" s="118"/>
      <c r="O999" s="118"/>
      <c r="P999" s="118"/>
      <c r="Q999" s="118"/>
      <c r="R999" s="118"/>
      <c r="S999" s="118"/>
      <c r="T999" s="118"/>
      <c r="U999" s="118"/>
      <c r="V999" s="118"/>
      <c r="W999" s="118"/>
      <c r="X999" s="118"/>
      <c r="Y999" s="118"/>
      <c r="Z999" s="118"/>
    </row>
    <row r="1000" spans="1:26" ht="14.25" customHeight="1">
      <c r="A1000" s="118"/>
      <c r="B1000" s="118"/>
      <c r="C1000" s="118"/>
      <c r="D1000" s="118"/>
      <c r="E1000" s="118"/>
      <c r="F1000" s="118"/>
      <c r="G1000" s="118"/>
      <c r="H1000" s="118"/>
      <c r="I1000" s="118"/>
      <c r="J1000" s="118"/>
      <c r="K1000" s="118"/>
      <c r="L1000" s="118"/>
      <c r="M1000" s="118"/>
      <c r="N1000" s="118"/>
      <c r="O1000" s="118"/>
      <c r="P1000" s="118"/>
      <c r="Q1000" s="118"/>
      <c r="R1000" s="118"/>
      <c r="S1000" s="118"/>
      <c r="T1000" s="118"/>
      <c r="U1000" s="118"/>
      <c r="V1000" s="118"/>
      <c r="W1000" s="118"/>
      <c r="X1000" s="118"/>
      <c r="Y1000" s="118"/>
      <c r="Z1000" s="118"/>
    </row>
  </sheetData>
  <mergeCells count="14">
    <mergeCell ref="B13:D13"/>
    <mergeCell ref="B14:D14"/>
    <mergeCell ref="A1:B2"/>
    <mergeCell ref="C1:E1"/>
    <mergeCell ref="C2:E2"/>
    <mergeCell ref="B4:D4"/>
    <mergeCell ref="B5:D5"/>
    <mergeCell ref="B6:D6"/>
    <mergeCell ref="B7:D7"/>
    <mergeCell ref="B8:D8"/>
    <mergeCell ref="B9:D9"/>
    <mergeCell ref="B10:D10"/>
    <mergeCell ref="B11:D11"/>
    <mergeCell ref="B12:D12"/>
  </mergeCells>
  <pageMargins left="0.70866141732283472" right="0.70866141732283472" top="0.74803149606299213" bottom="0.74803149606299213" header="0" footer="0"/>
  <pageSetup scale="60" orientation="portrait"/>
  <headerFooter>
    <oddFooter>&amp;R&amp;P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V1000"/>
  <sheetViews>
    <sheetView workbookViewId="0"/>
  </sheetViews>
  <sheetFormatPr baseColWidth="10" defaultColWidth="14.44140625" defaultRowHeight="15" customHeight="1"/>
  <cols>
    <col min="1" max="256" width="11.44140625" customWidth="1"/>
  </cols>
  <sheetData>
    <row r="1" spans="1:256" ht="14.4">
      <c r="A1" s="123">
        <f>IF(Datos!1:1,"AAAAAF/d7gA=",0)</f>
        <v>0</v>
      </c>
      <c r="B1" s="123" t="e">
        <f>AND(Datos!A1,"AAAAAF/d7gE=")</f>
        <v>#VALUE!</v>
      </c>
      <c r="C1" s="123" t="e">
        <f>AND(Datos!B1,"AAAAAF/d7gI=")</f>
        <v>#VALUE!</v>
      </c>
      <c r="D1" s="123" t="e">
        <f>AND(Datos!C1,"AAAAAF/d7gM=")</f>
        <v>#VALUE!</v>
      </c>
      <c r="E1" s="123" t="e">
        <f>AND(Datos!D1,"AAAAAF/d7gQ=")</f>
        <v>#VALUE!</v>
      </c>
      <c r="F1" s="123" t="e">
        <f>AND(Datos!E1,"AAAAAF/d7gU=")</f>
        <v>#VALUE!</v>
      </c>
      <c r="G1" s="123" t="e">
        <f>AND(Datos!F1,"AAAAAF/d7gY=")</f>
        <v>#VALUE!</v>
      </c>
      <c r="H1" s="123" t="e">
        <f>AND(Datos!G1,"AAAAAF/d7gc=")</f>
        <v>#VALUE!</v>
      </c>
      <c r="I1" s="123" t="e">
        <f>AND(Datos!H1,"AAAAAF/d7gg=")</f>
        <v>#VALUE!</v>
      </c>
      <c r="J1" s="123" t="e">
        <f>AND(Datos!I1,"AAAAAF/d7gk=")</f>
        <v>#VALUE!</v>
      </c>
      <c r="K1" s="123" t="e">
        <f>AND(Datos!J1,"AAAAAF/d7go=")</f>
        <v>#VALUE!</v>
      </c>
      <c r="L1" s="123" t="e">
        <f>AND(Datos!K1,"AAAAAF/d7gs=")</f>
        <v>#VALUE!</v>
      </c>
      <c r="M1" s="123" t="e">
        <f>AND(Datos!L1,"AAAAAF/d7gw=")</f>
        <v>#VALUE!</v>
      </c>
      <c r="N1" s="123" t="e">
        <f>AND(Datos!M1,"AAAAAF/d7g0=")</f>
        <v>#VALUE!</v>
      </c>
      <c r="O1" s="123" t="e">
        <f>AND(Datos!N1,"AAAAAF/d7g4=")</f>
        <v>#VALUE!</v>
      </c>
      <c r="P1" s="123" t="e">
        <f>AND(Datos!O1,"AAAAAF/d7g8=")</f>
        <v>#VALUE!</v>
      </c>
      <c r="Q1" s="123" t="e">
        <f>AND(Datos!P1,"AAAAAF/d7hA=")</f>
        <v>#VALUE!</v>
      </c>
      <c r="R1" s="123" t="e">
        <f>AND(Datos!Q1,"AAAAAF/d7hE=")</f>
        <v>#VALUE!</v>
      </c>
      <c r="S1" s="123" t="e">
        <f>AND(Datos!R1,"AAAAAF/d7hI=")</f>
        <v>#VALUE!</v>
      </c>
      <c r="T1" s="123" t="e">
        <f>AND(Datos!S1,"AAAAAF/d7hM=")</f>
        <v>#VALUE!</v>
      </c>
      <c r="U1" s="123" t="e">
        <f>AND(Datos!T1,"AAAAAF/d7hQ=")</f>
        <v>#VALUE!</v>
      </c>
      <c r="V1" s="123" t="e">
        <f>AND(Datos!U1,"AAAAAF/d7hU=")</f>
        <v>#VALUE!</v>
      </c>
      <c r="W1" s="123" t="e">
        <f>AND(Datos!V1,"AAAAAF/d7hY=")</f>
        <v>#VALUE!</v>
      </c>
      <c r="X1" s="123" t="e">
        <f>AND(Datos!W1,"AAAAAF/d7hc=")</f>
        <v>#VALUE!</v>
      </c>
      <c r="Y1" s="123" t="e">
        <f>IF(Datos!#REF!,"AAAAAF/d7hg=",0)</f>
        <v>#REF!</v>
      </c>
      <c r="Z1" s="123" t="e">
        <f>AND(Datos!#REF!,"AAAAAF/d7hk=")</f>
        <v>#REF!</v>
      </c>
      <c r="AA1" s="123" t="e">
        <f>AND(Datos!#REF!,"AAAAAF/d7ho=")</f>
        <v>#REF!</v>
      </c>
      <c r="AB1" s="123" t="e">
        <f>AND(Datos!#REF!,"AAAAAF/d7hs=")</f>
        <v>#REF!</v>
      </c>
      <c r="AC1" s="123" t="e">
        <f>AND(Datos!#REF!,"AAAAAF/d7hw=")</f>
        <v>#REF!</v>
      </c>
      <c r="AD1" s="123" t="e">
        <f>AND(Datos!#REF!,"AAAAAF/d7h0=")</f>
        <v>#REF!</v>
      </c>
      <c r="AE1" s="123" t="e">
        <f>AND(Datos!#REF!,"AAAAAF/d7h4=")</f>
        <v>#REF!</v>
      </c>
      <c r="AF1" s="123" t="e">
        <f>AND(Datos!#REF!,"AAAAAF/d7h8=")</f>
        <v>#REF!</v>
      </c>
      <c r="AG1" s="123" t="e">
        <f>AND(Datos!#REF!,"AAAAAF/d7iA=")</f>
        <v>#REF!</v>
      </c>
      <c r="AH1" s="123" t="e">
        <f>AND(Datos!#REF!,"AAAAAF/d7iE=")</f>
        <v>#REF!</v>
      </c>
      <c r="AI1" s="123" t="e">
        <f>AND(Datos!#REF!,"AAAAAF/d7iI=")</f>
        <v>#REF!</v>
      </c>
      <c r="AJ1" s="123" t="e">
        <f>AND(Datos!#REF!,"AAAAAF/d7iM=")</f>
        <v>#REF!</v>
      </c>
      <c r="AK1" s="123" t="e">
        <f>AND(Datos!#REF!,"AAAAAF/d7iQ=")</f>
        <v>#REF!</v>
      </c>
      <c r="AL1" s="123" t="e">
        <f>AND(Datos!#REF!,"AAAAAF/d7iU=")</f>
        <v>#REF!</v>
      </c>
      <c r="AM1" s="123" t="e">
        <f>AND(Datos!#REF!,"AAAAAF/d7iY=")</f>
        <v>#REF!</v>
      </c>
      <c r="AN1" s="123" t="e">
        <f>AND(Datos!#REF!,"AAAAAF/d7ic=")</f>
        <v>#REF!</v>
      </c>
      <c r="AO1" s="123" t="e">
        <f>AND(Datos!#REF!,"AAAAAF/d7ig=")</f>
        <v>#REF!</v>
      </c>
      <c r="AP1" s="123" t="e">
        <f>AND(Datos!#REF!,"AAAAAF/d7ik=")</f>
        <v>#REF!</v>
      </c>
      <c r="AQ1" s="123" t="e">
        <f>AND(Datos!#REF!,"AAAAAF/d7io=")</f>
        <v>#REF!</v>
      </c>
      <c r="AR1" s="123" t="e">
        <f>AND(Datos!#REF!,"AAAAAF/d7is=")</f>
        <v>#REF!</v>
      </c>
      <c r="AS1" s="123" t="e">
        <f>AND(Datos!#REF!,"AAAAAF/d7iw=")</f>
        <v>#REF!</v>
      </c>
      <c r="AT1" s="123" t="e">
        <f>AND(Datos!#REF!,"AAAAAF/d7i0=")</f>
        <v>#REF!</v>
      </c>
      <c r="AU1" s="123" t="e">
        <f>AND(Datos!#REF!,"AAAAAF/d7i4=")</f>
        <v>#REF!</v>
      </c>
      <c r="AV1" s="123" t="e">
        <f>AND(Datos!#REF!,"AAAAAF/d7i8=")</f>
        <v>#REF!</v>
      </c>
      <c r="AW1" s="123" t="e">
        <f>IF(Datos!#REF!,"AAAAAF/d7jA=",0)</f>
        <v>#REF!</v>
      </c>
      <c r="AX1" s="123" t="e">
        <f>AND(Datos!#REF!,"AAAAAF/d7jE=")</f>
        <v>#REF!</v>
      </c>
      <c r="AY1" s="123" t="e">
        <f>AND(Datos!#REF!,"AAAAAF/d7jI=")</f>
        <v>#REF!</v>
      </c>
      <c r="AZ1" s="123" t="e">
        <f>AND(Datos!#REF!,"AAAAAF/d7jM=")</f>
        <v>#REF!</v>
      </c>
      <c r="BA1" s="123" t="e">
        <f>AND(Datos!#REF!,"AAAAAF/d7jQ=")</f>
        <v>#REF!</v>
      </c>
      <c r="BB1" s="123" t="e">
        <f>AND(Datos!#REF!,"AAAAAF/d7jU=")</f>
        <v>#REF!</v>
      </c>
      <c r="BC1" s="123" t="e">
        <f>AND(Datos!#REF!,"AAAAAF/d7jY=")</f>
        <v>#REF!</v>
      </c>
      <c r="BD1" s="123" t="e">
        <f>AND(Datos!#REF!,"AAAAAF/d7jc=")</f>
        <v>#REF!</v>
      </c>
      <c r="BE1" s="123" t="e">
        <f>AND(Datos!#REF!,"AAAAAF/d7jg=")</f>
        <v>#REF!</v>
      </c>
      <c r="BF1" s="123" t="e">
        <f>AND(Datos!#REF!,"AAAAAF/d7jk=")</f>
        <v>#REF!</v>
      </c>
      <c r="BG1" s="123" t="e">
        <f>AND(Datos!#REF!,"AAAAAF/d7jo=")</f>
        <v>#REF!</v>
      </c>
      <c r="BH1" s="123" t="e">
        <f>AND(Datos!#REF!,"AAAAAF/d7js=")</f>
        <v>#REF!</v>
      </c>
      <c r="BI1" s="123" t="e">
        <f>AND(Datos!#REF!,"AAAAAF/d7jw=")</f>
        <v>#REF!</v>
      </c>
      <c r="BJ1" s="123" t="e">
        <f>AND(Datos!#REF!,"AAAAAF/d7j0=")</f>
        <v>#REF!</v>
      </c>
      <c r="BK1" s="123" t="e">
        <f>AND(Datos!#REF!,"AAAAAF/d7j4=")</f>
        <v>#REF!</v>
      </c>
      <c r="BL1" s="123" t="e">
        <f>AND(Datos!#REF!,"AAAAAF/d7j8=")</f>
        <v>#REF!</v>
      </c>
      <c r="BM1" s="123" t="e">
        <f>AND(Datos!#REF!,"AAAAAF/d7kA=")</f>
        <v>#REF!</v>
      </c>
      <c r="BN1" s="123" t="e">
        <f>AND(Datos!#REF!,"AAAAAF/d7kE=")</f>
        <v>#REF!</v>
      </c>
      <c r="BO1" s="123" t="e">
        <f>AND(Datos!#REF!,"AAAAAF/d7kI=")</f>
        <v>#REF!</v>
      </c>
      <c r="BP1" s="123" t="e">
        <f>AND(Datos!#REF!,"AAAAAF/d7kM=")</f>
        <v>#REF!</v>
      </c>
      <c r="BQ1" s="123" t="e">
        <f>AND(Datos!#REF!,"AAAAAF/d7kQ=")</f>
        <v>#REF!</v>
      </c>
      <c r="BR1" s="123" t="e">
        <f>AND(Datos!#REF!,"AAAAAF/d7kU=")</f>
        <v>#REF!</v>
      </c>
      <c r="BS1" s="123" t="e">
        <f>AND(Datos!#REF!,"AAAAAF/d7kY=")</f>
        <v>#REF!</v>
      </c>
      <c r="BT1" s="123" t="e">
        <f>AND(Datos!#REF!,"AAAAAF/d7kc=")</f>
        <v>#REF!</v>
      </c>
      <c r="BU1" s="123" t="e">
        <f>IF(Datos!#REF!,"AAAAAF/d7kg=",0)</f>
        <v>#REF!</v>
      </c>
      <c r="BV1" s="123" t="e">
        <f>AND(Datos!#REF!,"AAAAAF/d7kk=")</f>
        <v>#REF!</v>
      </c>
      <c r="BW1" s="123" t="e">
        <f>AND(Datos!#REF!,"AAAAAF/d7ko=")</f>
        <v>#REF!</v>
      </c>
      <c r="BX1" s="123" t="e">
        <f>AND(Datos!#REF!,"AAAAAF/d7ks=")</f>
        <v>#REF!</v>
      </c>
      <c r="BY1" s="123" t="e">
        <f>AND(Datos!#REF!,"AAAAAF/d7kw=")</f>
        <v>#REF!</v>
      </c>
      <c r="BZ1" s="123" t="e">
        <f>AND(Datos!#REF!,"AAAAAF/d7k0=")</f>
        <v>#REF!</v>
      </c>
      <c r="CA1" s="123" t="e">
        <f>AND(Datos!#REF!,"AAAAAF/d7k4=")</f>
        <v>#REF!</v>
      </c>
      <c r="CB1" s="123" t="e">
        <f>AND(Datos!#REF!,"AAAAAF/d7k8=")</f>
        <v>#REF!</v>
      </c>
      <c r="CC1" s="123" t="e">
        <f>AND(Datos!#REF!,"AAAAAF/d7lA=")</f>
        <v>#REF!</v>
      </c>
      <c r="CD1" s="123" t="e">
        <f>AND(Datos!#REF!,"AAAAAF/d7lE=")</f>
        <v>#REF!</v>
      </c>
      <c r="CE1" s="123" t="e">
        <f>AND(Datos!#REF!,"AAAAAF/d7lI=")</f>
        <v>#REF!</v>
      </c>
      <c r="CF1" s="123" t="e">
        <f>AND(Datos!#REF!,"AAAAAF/d7lM=")</f>
        <v>#REF!</v>
      </c>
      <c r="CG1" s="123" t="e">
        <f>AND(Datos!#REF!,"AAAAAF/d7lQ=")</f>
        <v>#REF!</v>
      </c>
      <c r="CH1" s="123" t="e">
        <f>AND(Datos!#REF!,"AAAAAF/d7lU=")</f>
        <v>#REF!</v>
      </c>
      <c r="CI1" s="123" t="e">
        <f>AND(Datos!#REF!,"AAAAAF/d7lY=")</f>
        <v>#REF!</v>
      </c>
      <c r="CJ1" s="123" t="e">
        <f>AND(Datos!#REF!,"AAAAAF/d7lc=")</f>
        <v>#REF!</v>
      </c>
      <c r="CK1" s="123" t="e">
        <f>AND(Datos!#REF!,"AAAAAF/d7lg=")</f>
        <v>#REF!</v>
      </c>
      <c r="CL1" s="123" t="e">
        <f>AND(Datos!#REF!,"AAAAAF/d7lk=")</f>
        <v>#REF!</v>
      </c>
      <c r="CM1" s="123" t="e">
        <f>AND(Datos!#REF!,"AAAAAF/d7lo=")</f>
        <v>#REF!</v>
      </c>
      <c r="CN1" s="123" t="e">
        <f>AND(Datos!#REF!,"AAAAAF/d7ls=")</f>
        <v>#REF!</v>
      </c>
      <c r="CO1" s="123" t="e">
        <f>AND(Datos!#REF!,"AAAAAF/d7lw=")</f>
        <v>#REF!</v>
      </c>
      <c r="CP1" s="123" t="e">
        <f>AND(Datos!#REF!,"AAAAAF/d7l0=")</f>
        <v>#REF!</v>
      </c>
      <c r="CQ1" s="123" t="e">
        <f>AND(Datos!#REF!,"AAAAAF/d7l4=")</f>
        <v>#REF!</v>
      </c>
      <c r="CR1" s="123" t="e">
        <f>AND(Datos!#REF!,"AAAAAF/d7l8=")</f>
        <v>#REF!</v>
      </c>
      <c r="CS1" s="123">
        <f>IF(Datos!2:2,"AAAAAF/d7mA=",0)</f>
        <v>0</v>
      </c>
      <c r="CT1" s="123" t="e">
        <f>AND(Datos!A2,"AAAAAF/d7mE=")</f>
        <v>#VALUE!</v>
      </c>
      <c r="CU1" s="123" t="e">
        <f>AND(Datos!B2,"AAAAAF/d7mI=")</f>
        <v>#VALUE!</v>
      </c>
      <c r="CV1" s="123" t="e">
        <f>AND(Datos!C2,"AAAAAF/d7mM=")</f>
        <v>#VALUE!</v>
      </c>
      <c r="CW1" s="123" t="e">
        <f>AND(Datos!D2,"AAAAAF/d7mQ=")</f>
        <v>#VALUE!</v>
      </c>
      <c r="CX1" s="123" t="e">
        <f>AND(Datos!E2,"AAAAAF/d7mU=")</f>
        <v>#VALUE!</v>
      </c>
      <c r="CY1" s="123" t="e">
        <f>AND(Datos!F2,"AAAAAF/d7mY=")</f>
        <v>#VALUE!</v>
      </c>
      <c r="CZ1" s="123" t="e">
        <f>AND(Datos!G2,"AAAAAF/d7mc=")</f>
        <v>#VALUE!</v>
      </c>
      <c r="DA1" s="123" t="e">
        <f>AND(Datos!H2,"AAAAAF/d7mg=")</f>
        <v>#VALUE!</v>
      </c>
      <c r="DB1" s="123" t="e">
        <f>AND(Datos!I2,"AAAAAF/d7mk=")</f>
        <v>#VALUE!</v>
      </c>
      <c r="DC1" s="123" t="e">
        <f>AND(Datos!J2,"AAAAAF/d7mo=")</f>
        <v>#VALUE!</v>
      </c>
      <c r="DD1" s="123" t="e">
        <f>AND(Datos!K2,"AAAAAF/d7ms=")</f>
        <v>#VALUE!</v>
      </c>
      <c r="DE1" s="123" t="e">
        <f>AND(Datos!L2,"AAAAAF/d7mw=")</f>
        <v>#VALUE!</v>
      </c>
      <c r="DF1" s="123" t="e">
        <f>AND(Datos!M2,"AAAAAF/d7m0=")</f>
        <v>#VALUE!</v>
      </c>
      <c r="DG1" s="123" t="e">
        <f>AND(Datos!N2,"AAAAAF/d7m4=")</f>
        <v>#VALUE!</v>
      </c>
      <c r="DH1" s="123" t="e">
        <f>AND(Datos!O2,"AAAAAF/d7m8=")</f>
        <v>#VALUE!</v>
      </c>
      <c r="DI1" s="123" t="e">
        <f>AND(Datos!P2,"AAAAAF/d7nA=")</f>
        <v>#VALUE!</v>
      </c>
      <c r="DJ1" s="123" t="e">
        <f>AND(Datos!Q2,"AAAAAF/d7nE=")</f>
        <v>#VALUE!</v>
      </c>
      <c r="DK1" s="123" t="e">
        <f>AND(Datos!R2,"AAAAAF/d7nI=")</f>
        <v>#VALUE!</v>
      </c>
      <c r="DL1" s="123" t="e">
        <f>AND(Datos!S2,"AAAAAF/d7nM=")</f>
        <v>#VALUE!</v>
      </c>
      <c r="DM1" s="123" t="e">
        <f>AND(Datos!T2,"AAAAAF/d7nQ=")</f>
        <v>#VALUE!</v>
      </c>
      <c r="DN1" s="123" t="e">
        <f>AND(Datos!U2,"AAAAAF/d7nU=")</f>
        <v>#VALUE!</v>
      </c>
      <c r="DO1" s="123" t="e">
        <f>AND(Datos!V2,"AAAAAF/d7nY=")</f>
        <v>#VALUE!</v>
      </c>
      <c r="DP1" s="123" t="e">
        <f>AND(Datos!W2,"AAAAAF/d7nc=")</f>
        <v>#VALUE!</v>
      </c>
      <c r="DQ1" s="123" t="e">
        <f ca="1">IF(_xlfn.SINGLE(Datos!#REF!),"AAAAAF/d7ng=",0)</f>
        <v>#NAME?</v>
      </c>
      <c r="DR1" s="123" t="e">
        <f>AND(Datos!#REF!,"AAAAAF/d7nk=")</f>
        <v>#REF!</v>
      </c>
      <c r="DS1" s="123" t="e">
        <f>AND(Datos!#REF!,"AAAAAF/d7no=")</f>
        <v>#REF!</v>
      </c>
      <c r="DT1" s="123" t="e">
        <f>AND(Datos!#REF!,"AAAAAF/d7ns=")</f>
        <v>#REF!</v>
      </c>
      <c r="DU1" s="123" t="e">
        <f>AND(Datos!#REF!,"AAAAAF/d7nw=")</f>
        <v>#REF!</v>
      </c>
      <c r="DV1" s="123" t="e">
        <f>AND(Datos!#REF!,"AAAAAF/d7n0=")</f>
        <v>#REF!</v>
      </c>
      <c r="DW1" s="123" t="e">
        <f>AND(Datos!#REF!,"AAAAAF/d7n4=")</f>
        <v>#REF!</v>
      </c>
      <c r="DX1" s="123" t="e">
        <f>AND(Datos!#REF!,"AAAAAF/d7n8=")</f>
        <v>#REF!</v>
      </c>
      <c r="DY1" s="123" t="e">
        <f>AND(Datos!#REF!,"AAAAAF/d7oA=")</f>
        <v>#REF!</v>
      </c>
      <c r="DZ1" s="123" t="e">
        <f>AND(Datos!#REF!,"AAAAAF/d7oE=")</f>
        <v>#REF!</v>
      </c>
      <c r="EA1" s="123" t="e">
        <f>AND(Datos!#REF!,"AAAAAF/d7oI=")</f>
        <v>#REF!</v>
      </c>
      <c r="EB1" s="123" t="e">
        <f>AND(Datos!#REF!,"AAAAAF/d7oM=")</f>
        <v>#REF!</v>
      </c>
      <c r="EC1" s="123" t="e">
        <f>AND(Datos!#REF!,"AAAAAF/d7oQ=")</f>
        <v>#REF!</v>
      </c>
      <c r="ED1" s="123" t="e">
        <f>AND(Datos!#REF!,"AAAAAF/d7oU=")</f>
        <v>#REF!</v>
      </c>
      <c r="EE1" s="123" t="e">
        <f>AND(Datos!#REF!,"AAAAAF/d7oY=")</f>
        <v>#REF!</v>
      </c>
      <c r="EF1" s="123" t="e">
        <f>AND(Datos!#REF!,"AAAAAF/d7oc=")</f>
        <v>#REF!</v>
      </c>
      <c r="EG1" s="123" t="e">
        <f>AND(Datos!#REF!,"AAAAAF/d7og=")</f>
        <v>#REF!</v>
      </c>
      <c r="EH1" s="123" t="e">
        <f>AND(Datos!#REF!,"AAAAAF/d7ok=")</f>
        <v>#REF!</v>
      </c>
      <c r="EI1" s="123" t="e">
        <f>AND(Datos!#REF!,"AAAAAF/d7oo=")</f>
        <v>#REF!</v>
      </c>
      <c r="EJ1" s="123" t="e">
        <f>AND(Datos!#REF!,"AAAAAF/d7os=")</f>
        <v>#REF!</v>
      </c>
      <c r="EK1" s="123" t="e">
        <f>AND(Datos!#REF!,"AAAAAF/d7ow=")</f>
        <v>#REF!</v>
      </c>
      <c r="EL1" s="123" t="e">
        <f>AND(Datos!#REF!,"AAAAAF/d7o0=")</f>
        <v>#REF!</v>
      </c>
      <c r="EM1" s="123" t="e">
        <f>AND(Datos!#REF!,"AAAAAF/d7o4=")</f>
        <v>#REF!</v>
      </c>
      <c r="EN1" s="123" t="e">
        <f>AND(Datos!#REF!,"AAAAAF/d7o8=")</f>
        <v>#REF!</v>
      </c>
      <c r="EO1" s="123">
        <f>IF(Datos!3:3,"AAAAAF/d7pA=",0)</f>
        <v>0</v>
      </c>
      <c r="EP1" s="123" t="e">
        <f>AND(Datos!A3,"AAAAAF/d7pE=")</f>
        <v>#VALUE!</v>
      </c>
      <c r="EQ1" s="123" t="e">
        <f>AND(Datos!B3,"AAAAAF/d7pI=")</f>
        <v>#VALUE!</v>
      </c>
      <c r="ER1" s="123" t="e">
        <f>AND(Datos!C3,"AAAAAF/d7pM=")</f>
        <v>#VALUE!</v>
      </c>
      <c r="ES1" s="123" t="e">
        <f>AND(Datos!D3,"AAAAAF/d7pQ=")</f>
        <v>#VALUE!</v>
      </c>
      <c r="ET1" s="123" t="e">
        <f>AND(Datos!E3,"AAAAAF/d7pU=")</f>
        <v>#VALUE!</v>
      </c>
      <c r="EU1" s="123" t="e">
        <f>AND(Datos!F3,"AAAAAF/d7pY=")</f>
        <v>#VALUE!</v>
      </c>
      <c r="EV1" s="123" t="e">
        <f>AND(Datos!G3,"AAAAAF/d7pc=")</f>
        <v>#VALUE!</v>
      </c>
      <c r="EW1" s="123" t="e">
        <f>AND(Datos!H3,"AAAAAF/d7pg=")</f>
        <v>#VALUE!</v>
      </c>
      <c r="EX1" s="123" t="e">
        <f>AND(Datos!I3,"AAAAAF/d7pk=")</f>
        <v>#VALUE!</v>
      </c>
      <c r="EY1" s="123" t="e">
        <f>AND(Datos!J3,"AAAAAF/d7po=")</f>
        <v>#VALUE!</v>
      </c>
      <c r="EZ1" s="123" t="e">
        <f>AND(Datos!K3,"AAAAAF/d7ps=")</f>
        <v>#VALUE!</v>
      </c>
      <c r="FA1" s="123" t="e">
        <f>AND(Datos!L3,"AAAAAF/d7pw=")</f>
        <v>#VALUE!</v>
      </c>
      <c r="FB1" s="123" t="e">
        <f>AND(Datos!M3,"AAAAAF/d7p0=")</f>
        <v>#VALUE!</v>
      </c>
      <c r="FC1" s="123" t="e">
        <f>AND(Datos!N3,"AAAAAF/d7p4=")</f>
        <v>#VALUE!</v>
      </c>
      <c r="FD1" s="123" t="e">
        <f>AND(Datos!O3,"AAAAAF/d7p8=")</f>
        <v>#VALUE!</v>
      </c>
      <c r="FE1" s="123" t="e">
        <f>AND(Datos!P3,"AAAAAF/d7qA=")</f>
        <v>#VALUE!</v>
      </c>
      <c r="FF1" s="123" t="e">
        <f>AND(Datos!Q3,"AAAAAF/d7qE=")</f>
        <v>#VALUE!</v>
      </c>
      <c r="FG1" s="123" t="e">
        <f>AND(Datos!R3,"AAAAAF/d7qI=")</f>
        <v>#VALUE!</v>
      </c>
      <c r="FH1" s="123" t="e">
        <f>AND(Datos!S3,"AAAAAF/d7qM=")</f>
        <v>#VALUE!</v>
      </c>
      <c r="FI1" s="123" t="e">
        <f>AND(Datos!T3,"AAAAAF/d7qQ=")</f>
        <v>#VALUE!</v>
      </c>
      <c r="FJ1" s="123" t="e">
        <f>AND(Datos!U3,"AAAAAF/d7qU=")</f>
        <v>#VALUE!</v>
      </c>
      <c r="FK1" s="123" t="e">
        <f>AND(Datos!V3,"AAAAAF/d7qY=")</f>
        <v>#VALUE!</v>
      </c>
      <c r="FL1" s="123" t="e">
        <f>AND(Datos!W3,"AAAAAF/d7qc=")</f>
        <v>#VALUE!</v>
      </c>
      <c r="FM1" s="123">
        <f>IF(Datos!4:4,"AAAAAF/d7qg=",0)</f>
        <v>0</v>
      </c>
      <c r="FN1" s="123" t="e">
        <f>AND(Datos!A4,"AAAAAF/d7qk=")</f>
        <v>#VALUE!</v>
      </c>
      <c r="FO1" s="123" t="e">
        <f>AND(Datos!B4,"AAAAAF/d7qo=")</f>
        <v>#VALUE!</v>
      </c>
      <c r="FP1" s="123" t="e">
        <f>AND(Datos!C4,"AAAAAF/d7qs=")</f>
        <v>#VALUE!</v>
      </c>
      <c r="FQ1" s="123" t="e">
        <f>AND(Datos!D4,"AAAAAF/d7qw=")</f>
        <v>#VALUE!</v>
      </c>
      <c r="FR1" s="123" t="e">
        <f>AND(Datos!E4,"AAAAAF/d7q0=")</f>
        <v>#VALUE!</v>
      </c>
      <c r="FS1" s="123" t="e">
        <f>AND(Datos!F4,"AAAAAF/d7q4=")</f>
        <v>#VALUE!</v>
      </c>
      <c r="FT1" s="123" t="e">
        <f>AND(Datos!G4,"AAAAAF/d7q8=")</f>
        <v>#VALUE!</v>
      </c>
      <c r="FU1" s="123" t="e">
        <f>AND(Datos!H4,"AAAAAF/d7rA=")</f>
        <v>#VALUE!</v>
      </c>
      <c r="FV1" s="123" t="e">
        <f>AND(Datos!I4,"AAAAAF/d7rE=")</f>
        <v>#VALUE!</v>
      </c>
      <c r="FW1" s="123" t="e">
        <f>AND(Datos!J4,"AAAAAF/d7rI=")</f>
        <v>#VALUE!</v>
      </c>
      <c r="FX1" s="123" t="e">
        <f>AND(Datos!K4,"AAAAAF/d7rM=")</f>
        <v>#VALUE!</v>
      </c>
      <c r="FY1" s="123" t="e">
        <f>AND(Datos!L4,"AAAAAF/d7rQ=")</f>
        <v>#VALUE!</v>
      </c>
      <c r="FZ1" s="123" t="e">
        <f>AND(Datos!M4,"AAAAAF/d7rU=")</f>
        <v>#VALUE!</v>
      </c>
      <c r="GA1" s="123" t="e">
        <f>AND(Datos!N4,"AAAAAF/d7rY=")</f>
        <v>#VALUE!</v>
      </c>
      <c r="GB1" s="123" t="e">
        <f>AND(Datos!O4,"AAAAAF/d7rc=")</f>
        <v>#VALUE!</v>
      </c>
      <c r="GC1" s="123" t="e">
        <f>AND(Datos!P4,"AAAAAF/d7rg=")</f>
        <v>#VALUE!</v>
      </c>
      <c r="GD1" s="123" t="e">
        <f>AND(Datos!Q4,"AAAAAF/d7rk=")</f>
        <v>#VALUE!</v>
      </c>
      <c r="GE1" s="123" t="e">
        <f>AND(Datos!R4,"AAAAAF/d7ro=")</f>
        <v>#VALUE!</v>
      </c>
      <c r="GF1" s="123" t="e">
        <f>AND(Datos!S4,"AAAAAF/d7rs=")</f>
        <v>#VALUE!</v>
      </c>
      <c r="GG1" s="123" t="e">
        <f>AND(Datos!T4,"AAAAAF/d7rw=")</f>
        <v>#VALUE!</v>
      </c>
      <c r="GH1" s="123" t="e">
        <f>AND(Datos!U4,"AAAAAF/d7r0=")</f>
        <v>#VALUE!</v>
      </c>
      <c r="GI1" s="123" t="e">
        <f>AND(Datos!V4,"AAAAAF/d7r4=")</f>
        <v>#VALUE!</v>
      </c>
      <c r="GJ1" s="123" t="e">
        <f>AND(Datos!W4,"AAAAAF/d7r8=")</f>
        <v>#VALUE!</v>
      </c>
      <c r="GK1" s="123">
        <f>IF(Datos!5:5,"AAAAAF/d7sA=",0)</f>
        <v>0</v>
      </c>
      <c r="GL1" s="123" t="e">
        <f>AND(Datos!A5,"AAAAAF/d7sE=")</f>
        <v>#VALUE!</v>
      </c>
      <c r="GM1" s="123" t="e">
        <f>AND(Datos!B5,"AAAAAF/d7sI=")</f>
        <v>#VALUE!</v>
      </c>
      <c r="GN1" s="123" t="e">
        <f>AND(Datos!C5,"AAAAAF/d7sM=")</f>
        <v>#VALUE!</v>
      </c>
      <c r="GO1" s="123" t="e">
        <f>AND(Datos!D5,"AAAAAF/d7sQ=")</f>
        <v>#VALUE!</v>
      </c>
      <c r="GP1" s="123" t="e">
        <f>AND(Datos!E5,"AAAAAF/d7sU=")</f>
        <v>#VALUE!</v>
      </c>
      <c r="GQ1" s="123" t="e">
        <f>AND(Datos!F5,"AAAAAF/d7sY=")</f>
        <v>#VALUE!</v>
      </c>
      <c r="GR1" s="123" t="e">
        <f>AND(Datos!G5,"AAAAAF/d7sc=")</f>
        <v>#VALUE!</v>
      </c>
      <c r="GS1" s="123" t="e">
        <f>AND(Datos!H5,"AAAAAF/d7sg=")</f>
        <v>#VALUE!</v>
      </c>
      <c r="GT1" s="123" t="e">
        <f>AND(Datos!I5,"AAAAAF/d7sk=")</f>
        <v>#VALUE!</v>
      </c>
      <c r="GU1" s="123" t="e">
        <f>AND(Datos!J5,"AAAAAF/d7so=")</f>
        <v>#VALUE!</v>
      </c>
      <c r="GV1" s="123" t="e">
        <f>AND(Datos!K5,"AAAAAF/d7ss=")</f>
        <v>#VALUE!</v>
      </c>
      <c r="GW1" s="123" t="e">
        <f>AND(Datos!L5,"AAAAAF/d7sw=")</f>
        <v>#VALUE!</v>
      </c>
      <c r="GX1" s="123" t="e">
        <f>AND(Datos!M5,"AAAAAF/d7s0=")</f>
        <v>#VALUE!</v>
      </c>
      <c r="GY1" s="123" t="e">
        <f>AND(Datos!N5,"AAAAAF/d7s4=")</f>
        <v>#VALUE!</v>
      </c>
      <c r="GZ1" s="123" t="e">
        <f>AND(Datos!O5,"AAAAAF/d7s8=")</f>
        <v>#VALUE!</v>
      </c>
      <c r="HA1" s="123" t="e">
        <f>AND(Datos!P5,"AAAAAF/d7tA=")</f>
        <v>#VALUE!</v>
      </c>
      <c r="HB1" s="123" t="e">
        <f>AND(Datos!Q5,"AAAAAF/d7tE=")</f>
        <v>#VALUE!</v>
      </c>
      <c r="HC1" s="123" t="e">
        <f>AND(Datos!R5,"AAAAAF/d7tI=")</f>
        <v>#VALUE!</v>
      </c>
      <c r="HD1" s="123" t="e">
        <f>AND(Datos!S5,"AAAAAF/d7tM=")</f>
        <v>#VALUE!</v>
      </c>
      <c r="HE1" s="123" t="e">
        <f>AND(Datos!T5,"AAAAAF/d7tQ=")</f>
        <v>#VALUE!</v>
      </c>
      <c r="HF1" s="123" t="e">
        <f>AND(Datos!U5,"AAAAAF/d7tU=")</f>
        <v>#VALUE!</v>
      </c>
      <c r="HG1" s="123" t="e">
        <f>AND(Datos!V5,"AAAAAF/d7tY=")</f>
        <v>#VALUE!</v>
      </c>
      <c r="HH1" s="123" t="e">
        <f>AND(Datos!W5,"AAAAAF/d7tc=")</f>
        <v>#VALUE!</v>
      </c>
      <c r="HI1" s="123">
        <f>IF(Datos!6:6,"AAAAAF/d7tg=",0)</f>
        <v>0</v>
      </c>
      <c r="HJ1" s="123" t="e">
        <f>AND(Datos!A6,"AAAAAF/d7tk=")</f>
        <v>#VALUE!</v>
      </c>
      <c r="HK1" s="123" t="e">
        <f>AND(Datos!B6,"AAAAAF/d7to=")</f>
        <v>#VALUE!</v>
      </c>
      <c r="HL1" s="123" t="e">
        <f>AND(Datos!C6,"AAAAAF/d7ts=")</f>
        <v>#VALUE!</v>
      </c>
      <c r="HM1" s="123" t="e">
        <f>AND(Datos!D6,"AAAAAF/d7tw=")</f>
        <v>#VALUE!</v>
      </c>
      <c r="HN1" s="123" t="e">
        <f>AND(Datos!E6,"AAAAAF/d7t0=")</f>
        <v>#VALUE!</v>
      </c>
      <c r="HO1" s="123" t="e">
        <f>AND(Datos!F6,"AAAAAF/d7t4=")</f>
        <v>#VALUE!</v>
      </c>
      <c r="HP1" s="123" t="e">
        <f>AND(Datos!G6,"AAAAAF/d7t8=")</f>
        <v>#VALUE!</v>
      </c>
      <c r="HQ1" s="123" t="e">
        <f>AND(Datos!H6,"AAAAAF/d7uA=")</f>
        <v>#VALUE!</v>
      </c>
      <c r="HR1" s="123" t="e">
        <f>AND(Datos!I6,"AAAAAF/d7uE=")</f>
        <v>#VALUE!</v>
      </c>
      <c r="HS1" s="123" t="e">
        <f>AND(Datos!J6,"AAAAAF/d7uI=")</f>
        <v>#VALUE!</v>
      </c>
      <c r="HT1" s="123" t="e">
        <f>AND(Datos!K6,"AAAAAF/d7uM=")</f>
        <v>#VALUE!</v>
      </c>
      <c r="HU1" s="123" t="e">
        <f>AND(Datos!L6,"AAAAAF/d7uQ=")</f>
        <v>#VALUE!</v>
      </c>
      <c r="HV1" s="123" t="e">
        <f>AND(Datos!M6,"AAAAAF/d7uU=")</f>
        <v>#VALUE!</v>
      </c>
      <c r="HW1" s="123" t="e">
        <f>AND(Datos!N6,"AAAAAF/d7uY=")</f>
        <v>#VALUE!</v>
      </c>
      <c r="HX1" s="123" t="e">
        <f>AND(Datos!O6,"AAAAAF/d7uc=")</f>
        <v>#VALUE!</v>
      </c>
      <c r="HY1" s="123" t="e">
        <f>AND(Datos!P6,"AAAAAF/d7ug=")</f>
        <v>#VALUE!</v>
      </c>
      <c r="HZ1" s="123" t="e">
        <f>AND(Datos!Q6,"AAAAAF/d7uk=")</f>
        <v>#VALUE!</v>
      </c>
      <c r="IA1" s="123" t="e">
        <f>AND(Datos!R6,"AAAAAF/d7uo=")</f>
        <v>#VALUE!</v>
      </c>
      <c r="IB1" s="123" t="e">
        <f>AND(Datos!S6,"AAAAAF/d7us=")</f>
        <v>#VALUE!</v>
      </c>
      <c r="IC1" s="123" t="e">
        <f>AND(Datos!T6,"AAAAAF/d7uw=")</f>
        <v>#VALUE!</v>
      </c>
      <c r="ID1" s="123" t="e">
        <f>AND(Datos!U6,"AAAAAF/d7u0=")</f>
        <v>#VALUE!</v>
      </c>
      <c r="IE1" s="123" t="e">
        <f>AND(Datos!V6,"AAAAAF/d7u4=")</f>
        <v>#VALUE!</v>
      </c>
      <c r="IF1" s="123" t="e">
        <f>AND(Datos!W6,"AAAAAF/d7u8=")</f>
        <v>#VALUE!</v>
      </c>
      <c r="IG1" s="123">
        <f>IF(Datos!7:7,"AAAAAF/d7vA=",0)</f>
        <v>0</v>
      </c>
      <c r="IH1" s="123" t="e">
        <f>AND(Datos!A7,"AAAAAF/d7vE=")</f>
        <v>#VALUE!</v>
      </c>
      <c r="II1" s="123" t="e">
        <f>AND(Datos!B7,"AAAAAF/d7vI=")</f>
        <v>#VALUE!</v>
      </c>
      <c r="IJ1" s="123" t="e">
        <f>AND(Datos!C7,"AAAAAF/d7vM=")</f>
        <v>#VALUE!</v>
      </c>
      <c r="IK1" s="123" t="e">
        <f>AND(Datos!D7,"AAAAAF/d7vQ=")</f>
        <v>#VALUE!</v>
      </c>
      <c r="IL1" s="123" t="e">
        <f>AND(Datos!E7,"AAAAAF/d7vU=")</f>
        <v>#VALUE!</v>
      </c>
      <c r="IM1" s="123" t="e">
        <f>AND(Datos!F7,"AAAAAF/d7vY=")</f>
        <v>#VALUE!</v>
      </c>
      <c r="IN1" s="123" t="e">
        <f>AND(Datos!G7,"AAAAAF/d7vc=")</f>
        <v>#VALUE!</v>
      </c>
      <c r="IO1" s="123" t="e">
        <f>AND(Datos!H7,"AAAAAF/d7vg=")</f>
        <v>#VALUE!</v>
      </c>
      <c r="IP1" s="123" t="e">
        <f>AND(Datos!I7,"AAAAAF/d7vk=")</f>
        <v>#VALUE!</v>
      </c>
      <c r="IQ1" s="123" t="e">
        <f>AND(Datos!J7,"AAAAAF/d7vo=")</f>
        <v>#VALUE!</v>
      </c>
      <c r="IR1" s="123" t="e">
        <f>AND(Datos!K7,"AAAAAF/d7vs=")</f>
        <v>#VALUE!</v>
      </c>
      <c r="IS1" s="123" t="e">
        <f>AND(Datos!L7,"AAAAAF/d7vw=")</f>
        <v>#VALUE!</v>
      </c>
      <c r="IT1" s="123" t="e">
        <f>AND(Datos!M7,"AAAAAF/d7v0=")</f>
        <v>#VALUE!</v>
      </c>
      <c r="IU1" s="123" t="e">
        <f>AND(Datos!N7,"AAAAAF/d7v4=")</f>
        <v>#VALUE!</v>
      </c>
      <c r="IV1" s="123" t="e">
        <f>AND(Datos!O7,"AAAAAF/d7v8=")</f>
        <v>#VALUE!</v>
      </c>
    </row>
    <row r="2" spans="1:256" ht="14.4">
      <c r="A2" s="123" t="e">
        <f>AND(Datos!P7,"AAAAAGfv/wA=")</f>
        <v>#VALUE!</v>
      </c>
      <c r="B2" s="123" t="e">
        <f>AND(Datos!Q7,"AAAAAGfv/wE=")</f>
        <v>#VALUE!</v>
      </c>
      <c r="C2" s="123" t="e">
        <f>AND(Datos!R7,"AAAAAGfv/wI=")</f>
        <v>#VALUE!</v>
      </c>
      <c r="D2" s="123" t="e">
        <f>AND(Datos!S7,"AAAAAGfv/wM=")</f>
        <v>#VALUE!</v>
      </c>
      <c r="E2" s="123" t="e">
        <f>AND(Datos!T7,"AAAAAGfv/wQ=")</f>
        <v>#VALUE!</v>
      </c>
      <c r="F2" s="123" t="e">
        <f>AND(Datos!U7,"AAAAAGfv/wU=")</f>
        <v>#VALUE!</v>
      </c>
      <c r="G2" s="123" t="e">
        <f>AND(Datos!V7,"AAAAAGfv/wY=")</f>
        <v>#VALUE!</v>
      </c>
      <c r="H2" s="123" t="e">
        <f>AND(Datos!W7,"AAAAAGfv/wc=")</f>
        <v>#VALUE!</v>
      </c>
      <c r="I2" s="123" t="e">
        <f>IF(Datos!#REF!,"AAAAAGfv/wg=",0)</f>
        <v>#REF!</v>
      </c>
      <c r="J2" s="123" t="e">
        <f>AND(Datos!#REF!,"AAAAAGfv/wk=")</f>
        <v>#REF!</v>
      </c>
      <c r="K2" s="123" t="e">
        <f>AND(Datos!#REF!,"AAAAAGfv/wo=")</f>
        <v>#REF!</v>
      </c>
      <c r="L2" s="123" t="e">
        <f>AND(Datos!#REF!,"AAAAAGfv/ws=")</f>
        <v>#REF!</v>
      </c>
      <c r="M2" s="123" t="e">
        <f>AND(Datos!#REF!,"AAAAAGfv/ww=")</f>
        <v>#REF!</v>
      </c>
      <c r="N2" s="123" t="e">
        <f>AND(Datos!#REF!,"AAAAAGfv/w0=")</f>
        <v>#REF!</v>
      </c>
      <c r="O2" s="123" t="e">
        <f>AND(Datos!#REF!,"AAAAAGfv/w4=")</f>
        <v>#REF!</v>
      </c>
      <c r="P2" s="123" t="e">
        <f>AND(Datos!#REF!,"AAAAAGfv/w8=")</f>
        <v>#REF!</v>
      </c>
      <c r="Q2" s="123" t="e">
        <f>AND(Datos!#REF!,"AAAAAGfv/xA=")</f>
        <v>#REF!</v>
      </c>
      <c r="R2" s="123" t="e">
        <f>AND(Datos!#REF!,"AAAAAGfv/xE=")</f>
        <v>#REF!</v>
      </c>
      <c r="S2" s="123" t="e">
        <f>AND(Datos!#REF!,"AAAAAGfv/xI=")</f>
        <v>#REF!</v>
      </c>
      <c r="T2" s="123" t="e">
        <f>AND(Datos!#REF!,"AAAAAGfv/xM=")</f>
        <v>#REF!</v>
      </c>
      <c r="U2" s="123" t="e">
        <f>AND(Datos!#REF!,"AAAAAGfv/xQ=")</f>
        <v>#REF!</v>
      </c>
      <c r="V2" s="123" t="e">
        <f>AND(Datos!#REF!,"AAAAAGfv/xU=")</f>
        <v>#REF!</v>
      </c>
      <c r="W2" s="123" t="e">
        <f>AND(Datos!#REF!,"AAAAAGfv/xY=")</f>
        <v>#REF!</v>
      </c>
      <c r="X2" s="123" t="e">
        <f>AND(Datos!#REF!,"AAAAAGfv/xc=")</f>
        <v>#REF!</v>
      </c>
      <c r="Y2" s="123" t="e">
        <f>AND(Datos!#REF!,"AAAAAGfv/xg=")</f>
        <v>#REF!</v>
      </c>
      <c r="Z2" s="123" t="e">
        <f>AND(Datos!#REF!,"AAAAAGfv/xk=")</f>
        <v>#REF!</v>
      </c>
      <c r="AA2" s="123" t="e">
        <f>AND(Datos!#REF!,"AAAAAGfv/xo=")</f>
        <v>#REF!</v>
      </c>
      <c r="AB2" s="123" t="e">
        <f>AND(Datos!#REF!,"AAAAAGfv/xs=")</f>
        <v>#REF!</v>
      </c>
      <c r="AC2" s="123" t="e">
        <f>AND(Datos!#REF!,"AAAAAGfv/xw=")</f>
        <v>#REF!</v>
      </c>
      <c r="AD2" s="123" t="e">
        <f>AND(Datos!#REF!,"AAAAAGfv/x0=")</f>
        <v>#REF!</v>
      </c>
      <c r="AE2" s="123" t="e">
        <f>AND(Datos!#REF!,"AAAAAGfv/x4=")</f>
        <v>#REF!</v>
      </c>
      <c r="AF2" s="123" t="e">
        <f>AND(Datos!#REF!,"AAAAAGfv/x8=")</f>
        <v>#REF!</v>
      </c>
      <c r="AG2" s="123">
        <f>IF(Datos!13:13,"AAAAAGfv/yA=",0)</f>
        <v>0</v>
      </c>
      <c r="AH2" s="123" t="e">
        <f>AND(Datos!A13,"AAAAAGfv/yE=")</f>
        <v>#VALUE!</v>
      </c>
      <c r="AI2" s="123" t="e">
        <f>AND(Datos!B13,"AAAAAGfv/yI=")</f>
        <v>#VALUE!</v>
      </c>
      <c r="AJ2" s="123" t="e">
        <f>AND(Datos!C13,"AAAAAGfv/yM=")</f>
        <v>#VALUE!</v>
      </c>
      <c r="AK2" s="123" t="e">
        <f>AND(Datos!D13,"AAAAAGfv/yQ=")</f>
        <v>#VALUE!</v>
      </c>
      <c r="AL2" s="123" t="e">
        <f>AND(Datos!E13,"AAAAAGfv/yU=")</f>
        <v>#VALUE!</v>
      </c>
      <c r="AM2" s="123" t="e">
        <f>AND(Datos!F13,"AAAAAGfv/yY=")</f>
        <v>#VALUE!</v>
      </c>
      <c r="AN2" s="123" t="e">
        <f>AND(Datos!G13,"AAAAAGfv/yc=")</f>
        <v>#VALUE!</v>
      </c>
      <c r="AO2" s="123" t="e">
        <f>AND(Datos!H13,"AAAAAGfv/yg=")</f>
        <v>#VALUE!</v>
      </c>
      <c r="AP2" s="123" t="e">
        <f>AND(Datos!I13,"AAAAAGfv/yk=")</f>
        <v>#VALUE!</v>
      </c>
      <c r="AQ2" s="123" t="e">
        <f>AND(Datos!J13,"AAAAAGfv/yo=")</f>
        <v>#VALUE!</v>
      </c>
      <c r="AR2" s="123" t="e">
        <f>AND(Datos!K13,"AAAAAGfv/ys=")</f>
        <v>#VALUE!</v>
      </c>
      <c r="AS2" s="123" t="e">
        <f>AND(Datos!L13,"AAAAAGfv/yw=")</f>
        <v>#VALUE!</v>
      </c>
      <c r="AT2" s="123" t="e">
        <f>AND(Datos!M13,"AAAAAGfv/y0=")</f>
        <v>#VALUE!</v>
      </c>
      <c r="AU2" s="123" t="e">
        <f>AND(Datos!N13,"AAAAAGfv/y4=")</f>
        <v>#VALUE!</v>
      </c>
      <c r="AV2" s="123" t="e">
        <f>AND(Datos!O13,"AAAAAGfv/y8=")</f>
        <v>#VALUE!</v>
      </c>
      <c r="AW2" s="123" t="e">
        <f>AND(Datos!P13,"AAAAAGfv/zA=")</f>
        <v>#VALUE!</v>
      </c>
      <c r="AX2" s="123" t="e">
        <f>AND(Datos!Q13,"AAAAAGfv/zE=")</f>
        <v>#VALUE!</v>
      </c>
      <c r="AY2" s="123" t="e">
        <f>AND(Datos!R13,"AAAAAGfv/zI=")</f>
        <v>#VALUE!</v>
      </c>
      <c r="AZ2" s="123" t="e">
        <f>AND(Datos!S13,"AAAAAGfv/zM=")</f>
        <v>#VALUE!</v>
      </c>
      <c r="BA2" s="123" t="e">
        <f>AND(Datos!T13,"AAAAAGfv/zQ=")</f>
        <v>#VALUE!</v>
      </c>
      <c r="BB2" s="123" t="e">
        <f>AND(Datos!U13,"AAAAAGfv/zU=")</f>
        <v>#VALUE!</v>
      </c>
      <c r="BC2" s="123" t="e">
        <f>AND(Datos!V13,"AAAAAGfv/zY=")</f>
        <v>#VALUE!</v>
      </c>
      <c r="BD2" s="123" t="e">
        <f>AND(Datos!W13,"AAAAAGfv/zc=")</f>
        <v>#VALUE!</v>
      </c>
      <c r="BE2" s="123">
        <f>IF(Datos!16:16,"AAAAAGfv/zg=",0)</f>
        <v>0</v>
      </c>
      <c r="BF2" s="123" t="e">
        <f>AND(Datos!A16,"AAAAAGfv/zk=")</f>
        <v>#VALUE!</v>
      </c>
      <c r="BG2" s="123" t="e">
        <f>AND(Datos!B16,"AAAAAGfv/zo=")</f>
        <v>#VALUE!</v>
      </c>
      <c r="BH2" s="123" t="e">
        <f>AND(Datos!C16,"AAAAAGfv/zs=")</f>
        <v>#VALUE!</v>
      </c>
      <c r="BI2" s="123" t="e">
        <f>AND(Datos!D16,"AAAAAGfv/zw=")</f>
        <v>#VALUE!</v>
      </c>
      <c r="BJ2" s="123" t="e">
        <f>AND(Datos!E16,"AAAAAGfv/z0=")</f>
        <v>#VALUE!</v>
      </c>
      <c r="BK2" s="123" t="e">
        <f>AND(Datos!F16,"AAAAAGfv/z4=")</f>
        <v>#VALUE!</v>
      </c>
      <c r="BL2" s="123" t="e">
        <f>AND(Datos!G16,"AAAAAGfv/z8=")</f>
        <v>#VALUE!</v>
      </c>
      <c r="BM2" s="123" t="e">
        <f>AND(Datos!H16,"AAAAAGfv/0A=")</f>
        <v>#VALUE!</v>
      </c>
      <c r="BN2" s="123" t="e">
        <f>AND(Datos!I16,"AAAAAGfv/0E=")</f>
        <v>#VALUE!</v>
      </c>
      <c r="BO2" s="123" t="e">
        <f>AND(Datos!J16,"AAAAAGfv/0I=")</f>
        <v>#VALUE!</v>
      </c>
      <c r="BP2" s="123" t="e">
        <f>AND(Datos!K16,"AAAAAGfv/0M=")</f>
        <v>#VALUE!</v>
      </c>
      <c r="BQ2" s="123" t="e">
        <f>AND(Datos!L16,"AAAAAGfv/0Q=")</f>
        <v>#VALUE!</v>
      </c>
      <c r="BR2" s="123" t="e">
        <f>AND(Datos!M16,"AAAAAGfv/0U=")</f>
        <v>#VALUE!</v>
      </c>
      <c r="BS2" s="123" t="e">
        <f>AND(Datos!N16,"AAAAAGfv/0Y=")</f>
        <v>#VALUE!</v>
      </c>
      <c r="BT2" s="123" t="e">
        <f>AND(Datos!O16,"AAAAAGfv/0c=")</f>
        <v>#VALUE!</v>
      </c>
      <c r="BU2" s="123" t="e">
        <f>AND(Datos!P16,"AAAAAGfv/0g=")</f>
        <v>#VALUE!</v>
      </c>
      <c r="BV2" s="123" t="e">
        <f>AND(Datos!Q16,"AAAAAGfv/0k=")</f>
        <v>#VALUE!</v>
      </c>
      <c r="BW2" s="123" t="e">
        <f>AND(Datos!R16,"AAAAAGfv/0o=")</f>
        <v>#VALUE!</v>
      </c>
      <c r="BX2" s="123" t="e">
        <f>AND(Datos!S16,"AAAAAGfv/0s=")</f>
        <v>#VALUE!</v>
      </c>
      <c r="BY2" s="123" t="e">
        <f>AND(Datos!T16,"AAAAAGfv/0w=")</f>
        <v>#VALUE!</v>
      </c>
      <c r="BZ2" s="123" t="e">
        <f>AND(Datos!U16,"AAAAAGfv/00=")</f>
        <v>#VALUE!</v>
      </c>
      <c r="CA2" s="123" t="e">
        <f>AND(Datos!V16,"AAAAAGfv/04=")</f>
        <v>#VALUE!</v>
      </c>
      <c r="CB2" s="123" t="e">
        <f>AND(Datos!W16,"AAAAAGfv/08=")</f>
        <v>#VALUE!</v>
      </c>
      <c r="CC2" s="123">
        <f>IF(Datos!17:17,"AAAAAGfv/1A=",0)</f>
        <v>0</v>
      </c>
      <c r="CD2" s="123" t="e">
        <f>AND(Datos!A17,"AAAAAGfv/1E=")</f>
        <v>#VALUE!</v>
      </c>
      <c r="CE2" s="123" t="e">
        <f>AND(Datos!B17,"AAAAAGfv/1I=")</f>
        <v>#VALUE!</v>
      </c>
      <c r="CF2" s="123" t="e">
        <f>AND(Datos!C17,"AAAAAGfv/1M=")</f>
        <v>#VALUE!</v>
      </c>
      <c r="CG2" s="123" t="e">
        <f>AND(Datos!D17,"AAAAAGfv/1Q=")</f>
        <v>#VALUE!</v>
      </c>
      <c r="CH2" s="123" t="e">
        <f>AND(Datos!E17,"AAAAAGfv/1U=")</f>
        <v>#VALUE!</v>
      </c>
      <c r="CI2" s="123" t="e">
        <f>AND(Datos!F17,"AAAAAGfv/1Y=")</f>
        <v>#VALUE!</v>
      </c>
      <c r="CJ2" s="123" t="e">
        <f>AND(Datos!G17,"AAAAAGfv/1c=")</f>
        <v>#VALUE!</v>
      </c>
      <c r="CK2" s="123" t="e">
        <f>AND(Datos!H17,"AAAAAGfv/1g=")</f>
        <v>#VALUE!</v>
      </c>
      <c r="CL2" s="123" t="e">
        <f>AND(Datos!I17,"AAAAAGfv/1k=")</f>
        <v>#VALUE!</v>
      </c>
      <c r="CM2" s="123" t="e">
        <f>AND(Datos!J17,"AAAAAGfv/1o=")</f>
        <v>#VALUE!</v>
      </c>
      <c r="CN2" s="123" t="e">
        <f>AND(Datos!K17,"AAAAAGfv/1s=")</f>
        <v>#VALUE!</v>
      </c>
      <c r="CO2" s="123" t="e">
        <f>AND(Datos!L17,"AAAAAGfv/1w=")</f>
        <v>#VALUE!</v>
      </c>
      <c r="CP2" s="123" t="e">
        <f>AND(Datos!M17,"AAAAAGfv/10=")</f>
        <v>#VALUE!</v>
      </c>
      <c r="CQ2" s="123" t="e">
        <f>AND(Datos!N17,"AAAAAGfv/14=")</f>
        <v>#VALUE!</v>
      </c>
      <c r="CR2" s="123" t="e">
        <f>AND(Datos!O17,"AAAAAGfv/18=")</f>
        <v>#VALUE!</v>
      </c>
      <c r="CS2" s="123" t="e">
        <f>AND(Datos!P17,"AAAAAGfv/2A=")</f>
        <v>#VALUE!</v>
      </c>
      <c r="CT2" s="123" t="e">
        <f>AND(Datos!Q17,"AAAAAGfv/2E=")</f>
        <v>#VALUE!</v>
      </c>
      <c r="CU2" s="123" t="e">
        <f>AND(Datos!R17,"AAAAAGfv/2I=")</f>
        <v>#VALUE!</v>
      </c>
      <c r="CV2" s="123" t="e">
        <f>AND(Datos!S17,"AAAAAGfv/2M=")</f>
        <v>#VALUE!</v>
      </c>
      <c r="CW2" s="123" t="e">
        <f>AND(Datos!T17,"AAAAAGfv/2Q=")</f>
        <v>#VALUE!</v>
      </c>
      <c r="CX2" s="123" t="e">
        <f>AND(Datos!U17,"AAAAAGfv/2U=")</f>
        <v>#VALUE!</v>
      </c>
      <c r="CY2" s="123" t="e">
        <f>AND(Datos!V17,"AAAAAGfv/2Y=")</f>
        <v>#VALUE!</v>
      </c>
      <c r="CZ2" s="123" t="e">
        <f>AND(Datos!W17,"AAAAAGfv/2c=")</f>
        <v>#VALUE!</v>
      </c>
      <c r="DA2" s="123">
        <f>IF(Datos!18:18,"AAAAAGfv/2g=",0)</f>
        <v>0</v>
      </c>
      <c r="DB2" s="123" t="e">
        <f>AND(Datos!A18,"AAAAAGfv/2k=")</f>
        <v>#VALUE!</v>
      </c>
      <c r="DC2" s="123" t="e">
        <f>AND(Datos!B18,"AAAAAGfv/2o=")</f>
        <v>#VALUE!</v>
      </c>
      <c r="DD2" s="123" t="e">
        <f>AND(Datos!C18,"AAAAAGfv/2s=")</f>
        <v>#VALUE!</v>
      </c>
      <c r="DE2" s="123" t="e">
        <f>AND(Datos!D18,"AAAAAGfv/2w=")</f>
        <v>#VALUE!</v>
      </c>
      <c r="DF2" s="123" t="e">
        <f>AND(Datos!E18,"AAAAAGfv/20=")</f>
        <v>#VALUE!</v>
      </c>
      <c r="DG2" s="123" t="e">
        <f>AND(Datos!F18,"AAAAAGfv/24=")</f>
        <v>#VALUE!</v>
      </c>
      <c r="DH2" s="123" t="e">
        <f>AND(Datos!G18,"AAAAAGfv/28=")</f>
        <v>#VALUE!</v>
      </c>
      <c r="DI2" s="123" t="e">
        <f>AND(Datos!H18,"AAAAAGfv/3A=")</f>
        <v>#VALUE!</v>
      </c>
      <c r="DJ2" s="123" t="e">
        <f>AND(Datos!I18,"AAAAAGfv/3E=")</f>
        <v>#VALUE!</v>
      </c>
      <c r="DK2" s="123" t="e">
        <f>AND(Datos!J18,"AAAAAGfv/3I=")</f>
        <v>#VALUE!</v>
      </c>
      <c r="DL2" s="123" t="e">
        <f>AND(Datos!K18,"AAAAAGfv/3M=")</f>
        <v>#VALUE!</v>
      </c>
      <c r="DM2" s="123" t="e">
        <f>AND(Datos!L18,"AAAAAGfv/3Q=")</f>
        <v>#VALUE!</v>
      </c>
      <c r="DN2" s="123" t="e">
        <f>AND(Datos!M18,"AAAAAGfv/3U=")</f>
        <v>#VALUE!</v>
      </c>
      <c r="DO2" s="123" t="e">
        <f>AND(Datos!N18,"AAAAAGfv/3Y=")</f>
        <v>#VALUE!</v>
      </c>
      <c r="DP2" s="123" t="e">
        <f>AND(Datos!O18,"AAAAAGfv/3c=")</f>
        <v>#VALUE!</v>
      </c>
      <c r="DQ2" s="123" t="e">
        <f>AND(Datos!P18,"AAAAAGfv/3g=")</f>
        <v>#VALUE!</v>
      </c>
      <c r="DR2" s="123" t="e">
        <f>AND(Datos!Q18,"AAAAAGfv/3k=")</f>
        <v>#VALUE!</v>
      </c>
      <c r="DS2" s="123" t="e">
        <f>AND(Datos!R18,"AAAAAGfv/3o=")</f>
        <v>#VALUE!</v>
      </c>
      <c r="DT2" s="123" t="e">
        <f>AND(Datos!S18,"AAAAAGfv/3s=")</f>
        <v>#VALUE!</v>
      </c>
      <c r="DU2" s="123" t="e">
        <f>AND(Datos!T18,"AAAAAGfv/3w=")</f>
        <v>#VALUE!</v>
      </c>
      <c r="DV2" s="123" t="e">
        <f>AND(Datos!U18,"AAAAAGfv/30=")</f>
        <v>#VALUE!</v>
      </c>
      <c r="DW2" s="123" t="e">
        <f>AND(Datos!V18,"AAAAAGfv/34=")</f>
        <v>#VALUE!</v>
      </c>
      <c r="DX2" s="123" t="e">
        <f>AND(Datos!W18,"AAAAAGfv/38=")</f>
        <v>#VALUE!</v>
      </c>
      <c r="DY2" s="123">
        <f>IF(Datos!19:19,"AAAAAGfv/4A=",0)</f>
        <v>0</v>
      </c>
      <c r="DZ2" s="123" t="e">
        <f>AND(Datos!A19,"AAAAAGfv/4E=")</f>
        <v>#VALUE!</v>
      </c>
      <c r="EA2" s="123" t="e">
        <f>AND(Datos!B19,"AAAAAGfv/4I=")</f>
        <v>#VALUE!</v>
      </c>
      <c r="EB2" s="123" t="e">
        <f>AND(Datos!C19,"AAAAAGfv/4M=")</f>
        <v>#VALUE!</v>
      </c>
      <c r="EC2" s="123" t="e">
        <f>AND(Datos!D19,"AAAAAGfv/4Q=")</f>
        <v>#VALUE!</v>
      </c>
      <c r="ED2" s="123" t="e">
        <f>AND(Datos!E19,"AAAAAGfv/4U=")</f>
        <v>#VALUE!</v>
      </c>
      <c r="EE2" s="123" t="e">
        <f>AND(Datos!F19,"AAAAAGfv/4Y=")</f>
        <v>#VALUE!</v>
      </c>
      <c r="EF2" s="123" t="e">
        <f>AND(Datos!G19,"AAAAAGfv/4c=")</f>
        <v>#VALUE!</v>
      </c>
      <c r="EG2" s="123" t="e">
        <f>AND(Datos!H19,"AAAAAGfv/4g=")</f>
        <v>#VALUE!</v>
      </c>
      <c r="EH2" s="123" t="e">
        <f>AND(Datos!I19,"AAAAAGfv/4k=")</f>
        <v>#VALUE!</v>
      </c>
      <c r="EI2" s="123" t="e">
        <f>AND(Datos!J19,"AAAAAGfv/4o=")</f>
        <v>#VALUE!</v>
      </c>
      <c r="EJ2" s="123" t="e">
        <f>AND(Datos!K19,"AAAAAGfv/4s=")</f>
        <v>#VALUE!</v>
      </c>
      <c r="EK2" s="123" t="e">
        <f>AND(Datos!L19,"AAAAAGfv/4w=")</f>
        <v>#VALUE!</v>
      </c>
      <c r="EL2" s="123" t="e">
        <f>AND(Datos!M19,"AAAAAGfv/40=")</f>
        <v>#VALUE!</v>
      </c>
      <c r="EM2" s="123" t="e">
        <f>AND(Datos!N19,"AAAAAGfv/44=")</f>
        <v>#VALUE!</v>
      </c>
      <c r="EN2" s="123" t="e">
        <f>AND(Datos!O19,"AAAAAGfv/48=")</f>
        <v>#VALUE!</v>
      </c>
      <c r="EO2" s="123" t="e">
        <f>AND(Datos!P19,"AAAAAGfv/5A=")</f>
        <v>#VALUE!</v>
      </c>
      <c r="EP2" s="123" t="e">
        <f>AND(Datos!Q19,"AAAAAGfv/5E=")</f>
        <v>#VALUE!</v>
      </c>
      <c r="EQ2" s="123" t="e">
        <f>AND(Datos!R19,"AAAAAGfv/5I=")</f>
        <v>#VALUE!</v>
      </c>
      <c r="ER2" s="123" t="e">
        <f>AND(Datos!S19,"AAAAAGfv/5M=")</f>
        <v>#VALUE!</v>
      </c>
      <c r="ES2" s="123" t="e">
        <f>AND(Datos!T19,"AAAAAGfv/5Q=")</f>
        <v>#VALUE!</v>
      </c>
      <c r="ET2" s="123" t="e">
        <f>AND(Datos!U19,"AAAAAGfv/5U=")</f>
        <v>#VALUE!</v>
      </c>
      <c r="EU2" s="123" t="e">
        <f>AND(Datos!V19,"AAAAAGfv/5Y=")</f>
        <v>#VALUE!</v>
      </c>
      <c r="EV2" s="123" t="e">
        <f>AND(Datos!W19,"AAAAAGfv/5c=")</f>
        <v>#VALUE!</v>
      </c>
      <c r="EW2" s="123">
        <f>IF(Datos!20:20,"AAAAAGfv/5g=",0)</f>
        <v>0</v>
      </c>
      <c r="EX2" s="123" t="e">
        <f>AND(Datos!A20,"AAAAAGfv/5k=")</f>
        <v>#VALUE!</v>
      </c>
      <c r="EY2" s="123" t="e">
        <f>AND(Datos!B20,"AAAAAGfv/5o=")</f>
        <v>#VALUE!</v>
      </c>
      <c r="EZ2" s="123" t="e">
        <f>AND(Datos!C20,"AAAAAGfv/5s=")</f>
        <v>#VALUE!</v>
      </c>
      <c r="FA2" s="123" t="e">
        <f>AND(Datos!D20,"AAAAAGfv/5w=")</f>
        <v>#VALUE!</v>
      </c>
      <c r="FB2" s="123" t="e">
        <f>AND(Datos!E20,"AAAAAGfv/50=")</f>
        <v>#VALUE!</v>
      </c>
      <c r="FC2" s="123" t="e">
        <f>AND(Datos!#REF!,"AAAAAGfv/54=")</f>
        <v>#REF!</v>
      </c>
      <c r="FD2" s="123" t="e">
        <f>AND(Datos!#REF!,"AAAAAGfv/58=")</f>
        <v>#REF!</v>
      </c>
      <c r="FE2" s="123" t="e">
        <f>AND(Datos!F20,"AAAAAGfv/6A=")</f>
        <v>#VALUE!</v>
      </c>
      <c r="FF2" s="123" t="e">
        <f>AND(Datos!I20,"AAAAAGfv/6E=")</f>
        <v>#VALUE!</v>
      </c>
      <c r="FG2" s="123" t="e">
        <f>AND(Datos!J20,"AAAAAGfv/6I=")</f>
        <v>#VALUE!</v>
      </c>
      <c r="FH2" s="123" t="e">
        <f>AND(Datos!K20,"AAAAAGfv/6M=")</f>
        <v>#VALUE!</v>
      </c>
      <c r="FI2" s="123" t="e">
        <f>AND(Datos!L20,"AAAAAGfv/6Q=")</f>
        <v>#VALUE!</v>
      </c>
      <c r="FJ2" s="123" t="e">
        <f>AND(Datos!M20,"AAAAAGfv/6U=")</f>
        <v>#VALUE!</v>
      </c>
      <c r="FK2" s="123" t="e">
        <f>AND(Datos!N20,"AAAAAGfv/6Y=")</f>
        <v>#VALUE!</v>
      </c>
      <c r="FL2" s="123" t="e">
        <f>AND(Datos!O20,"AAAAAGfv/6c=")</f>
        <v>#VALUE!</v>
      </c>
      <c r="FM2" s="123" t="e">
        <f>AND(Datos!P20,"AAAAAGfv/6g=")</f>
        <v>#VALUE!</v>
      </c>
      <c r="FN2" s="123" t="e">
        <f>AND(Datos!Q20,"AAAAAGfv/6k=")</f>
        <v>#VALUE!</v>
      </c>
      <c r="FO2" s="123" t="e">
        <f>AND(Datos!R20,"AAAAAGfv/6o=")</f>
        <v>#VALUE!</v>
      </c>
      <c r="FP2" s="123" t="e">
        <f>AND(Datos!S20,"AAAAAGfv/6s=")</f>
        <v>#VALUE!</v>
      </c>
      <c r="FQ2" s="123" t="e">
        <f>AND(Datos!T20,"AAAAAGfv/6w=")</f>
        <v>#VALUE!</v>
      </c>
      <c r="FR2" s="123" t="e">
        <f>AND(Datos!U20,"AAAAAGfv/60=")</f>
        <v>#VALUE!</v>
      </c>
      <c r="FS2" s="123" t="e">
        <f>AND(Datos!V20,"AAAAAGfv/64=")</f>
        <v>#VALUE!</v>
      </c>
      <c r="FT2" s="123" t="e">
        <f>AND(Datos!W20,"AAAAAGfv/68=")</f>
        <v>#VALUE!</v>
      </c>
      <c r="FU2" s="123">
        <f>IF(Datos!21:21,"AAAAAGfv/7A=",0)</f>
        <v>0</v>
      </c>
      <c r="FV2" s="123" t="e">
        <f>AND(Datos!A21,"AAAAAGfv/7E=")</f>
        <v>#VALUE!</v>
      </c>
      <c r="FW2" s="123" t="e">
        <f>AND(Datos!B21,"AAAAAGfv/7I=")</f>
        <v>#VALUE!</v>
      </c>
      <c r="FX2" s="123" t="e">
        <f>AND(Datos!C21,"AAAAAGfv/7M=")</f>
        <v>#VALUE!</v>
      </c>
      <c r="FY2" s="123" t="e">
        <f>AND(Datos!D21,"AAAAAGfv/7Q=")</f>
        <v>#VALUE!</v>
      </c>
      <c r="FZ2" s="123" t="e">
        <f>AND(Datos!E21,"AAAAAGfv/7U=")</f>
        <v>#VALUE!</v>
      </c>
      <c r="GA2" s="123" t="e">
        <f>AND(Datos!#REF!,"AAAAAGfv/7Y=")</f>
        <v>#REF!</v>
      </c>
      <c r="GB2" s="123" t="e">
        <f>AND(Datos!#REF!,"AAAAAGfv/7c=")</f>
        <v>#REF!</v>
      </c>
      <c r="GC2" s="123" t="e">
        <f>AND(Datos!F21,"AAAAAGfv/7g=")</f>
        <v>#VALUE!</v>
      </c>
      <c r="GD2" s="123" t="e">
        <f>AND(Datos!I21,"AAAAAGfv/7k=")</f>
        <v>#VALUE!</v>
      </c>
      <c r="GE2" s="123" t="e">
        <f>AND(Datos!J21,"AAAAAGfv/7o=")</f>
        <v>#VALUE!</v>
      </c>
      <c r="GF2" s="123" t="e">
        <f>AND(Datos!K21,"AAAAAGfv/7s=")</f>
        <v>#VALUE!</v>
      </c>
      <c r="GG2" s="123" t="e">
        <f>AND(Datos!L21,"AAAAAGfv/7w=")</f>
        <v>#VALUE!</v>
      </c>
      <c r="GH2" s="123" t="e">
        <f>AND(Datos!M21,"AAAAAGfv/70=")</f>
        <v>#VALUE!</v>
      </c>
      <c r="GI2" s="123" t="e">
        <f>AND(Datos!N21,"AAAAAGfv/74=")</f>
        <v>#VALUE!</v>
      </c>
      <c r="GJ2" s="123" t="e">
        <f>AND(Datos!O21,"AAAAAGfv/78=")</f>
        <v>#VALUE!</v>
      </c>
      <c r="GK2" s="123" t="e">
        <f>AND(Datos!P21,"AAAAAGfv/8A=")</f>
        <v>#VALUE!</v>
      </c>
      <c r="GL2" s="123" t="e">
        <f>AND(Datos!Q21,"AAAAAGfv/8E=")</f>
        <v>#VALUE!</v>
      </c>
      <c r="GM2" s="123" t="e">
        <f>AND(Datos!R21,"AAAAAGfv/8I=")</f>
        <v>#VALUE!</v>
      </c>
      <c r="GN2" s="123" t="e">
        <f>AND(Datos!S21,"AAAAAGfv/8M=")</f>
        <v>#VALUE!</v>
      </c>
      <c r="GO2" s="123" t="e">
        <f>AND(Datos!T21,"AAAAAGfv/8Q=")</f>
        <v>#VALUE!</v>
      </c>
      <c r="GP2" s="123" t="e">
        <f>AND(Datos!U21,"AAAAAGfv/8U=")</f>
        <v>#VALUE!</v>
      </c>
      <c r="GQ2" s="123" t="e">
        <f>AND(Datos!V21,"AAAAAGfv/8Y=")</f>
        <v>#VALUE!</v>
      </c>
      <c r="GR2" s="123" t="e">
        <f>AND(Datos!W21,"AAAAAGfv/8c=")</f>
        <v>#VALUE!</v>
      </c>
      <c r="GS2" s="123">
        <f>IF(Datos!22:22,"AAAAAGfv/8g=",0)</f>
        <v>0</v>
      </c>
      <c r="GT2" s="123" t="e">
        <f>AND(Datos!A22,"AAAAAGfv/8k=")</f>
        <v>#VALUE!</v>
      </c>
      <c r="GU2" s="123" t="e">
        <f>AND(Datos!B22,"AAAAAGfv/8o=")</f>
        <v>#VALUE!</v>
      </c>
      <c r="GV2" s="123" t="e">
        <f>AND(Datos!C22,"AAAAAGfv/8s=")</f>
        <v>#VALUE!</v>
      </c>
      <c r="GW2" s="123" t="e">
        <f>AND(Datos!D22,"AAAAAGfv/8w=")</f>
        <v>#VALUE!</v>
      </c>
      <c r="GX2" s="123" t="e">
        <f>AND(Datos!E22,"AAAAAGfv/80=")</f>
        <v>#VALUE!</v>
      </c>
      <c r="GY2" s="123" t="e">
        <f>AND(Datos!F22,"AAAAAGfv/84=")</f>
        <v>#VALUE!</v>
      </c>
      <c r="GZ2" s="123" t="e">
        <f>AND(Datos!G22,"AAAAAGfv/88=")</f>
        <v>#VALUE!</v>
      </c>
      <c r="HA2" s="123" t="e">
        <f>AND(Datos!H22,"AAAAAGfv/9A=")</f>
        <v>#VALUE!</v>
      </c>
      <c r="HB2" s="123" t="e">
        <f>AND(Datos!I22,"AAAAAGfv/9E=")</f>
        <v>#VALUE!</v>
      </c>
      <c r="HC2" s="123" t="e">
        <f>AND(Datos!J22,"AAAAAGfv/9I=")</f>
        <v>#VALUE!</v>
      </c>
      <c r="HD2" s="123" t="e">
        <f>AND(Datos!K22,"AAAAAGfv/9M=")</f>
        <v>#VALUE!</v>
      </c>
      <c r="HE2" s="123" t="e">
        <f>AND(Datos!L22,"AAAAAGfv/9Q=")</f>
        <v>#VALUE!</v>
      </c>
      <c r="HF2" s="123" t="e">
        <f>AND(Datos!M22,"AAAAAGfv/9U=")</f>
        <v>#VALUE!</v>
      </c>
      <c r="HG2" s="123" t="e">
        <f>AND(Datos!N22,"AAAAAGfv/9Y=")</f>
        <v>#VALUE!</v>
      </c>
      <c r="HH2" s="123" t="e">
        <f>AND(Datos!O22,"AAAAAGfv/9c=")</f>
        <v>#VALUE!</v>
      </c>
      <c r="HI2" s="123" t="e">
        <f>AND(Datos!P22,"AAAAAGfv/9g=")</f>
        <v>#VALUE!</v>
      </c>
      <c r="HJ2" s="123" t="e">
        <f>AND(Datos!Q22,"AAAAAGfv/9k=")</f>
        <v>#VALUE!</v>
      </c>
      <c r="HK2" s="123" t="e">
        <f>AND(Datos!R22,"AAAAAGfv/9o=")</f>
        <v>#VALUE!</v>
      </c>
      <c r="HL2" s="123" t="e">
        <f>AND(Datos!S22,"AAAAAGfv/9s=")</f>
        <v>#VALUE!</v>
      </c>
      <c r="HM2" s="123" t="e">
        <f>AND(Datos!T22,"AAAAAGfv/9w=")</f>
        <v>#VALUE!</v>
      </c>
      <c r="HN2" s="123" t="e">
        <f>AND(Datos!U22,"AAAAAGfv/90=")</f>
        <v>#VALUE!</v>
      </c>
      <c r="HO2" s="123" t="e">
        <f>AND(Datos!V22,"AAAAAGfv/94=")</f>
        <v>#VALUE!</v>
      </c>
      <c r="HP2" s="123" t="e">
        <f>AND(Datos!W22,"AAAAAGfv/98=")</f>
        <v>#VALUE!</v>
      </c>
      <c r="HQ2" s="123">
        <f>IF(Datos!23:23,"AAAAAGfv/+A=",0)</f>
        <v>0</v>
      </c>
      <c r="HR2" s="123" t="e">
        <f>AND(Datos!A23,"AAAAAGfv/+E=")</f>
        <v>#VALUE!</v>
      </c>
      <c r="HS2" s="123" t="e">
        <f>AND(Datos!B23,"AAAAAGfv/+I=")</f>
        <v>#VALUE!</v>
      </c>
      <c r="HT2" s="123" t="e">
        <f>AND(Datos!C23,"AAAAAGfv/+M=")</f>
        <v>#VALUE!</v>
      </c>
      <c r="HU2" s="123" t="e">
        <f>AND(Datos!D23,"AAAAAGfv/+Q=")</f>
        <v>#VALUE!</v>
      </c>
      <c r="HV2" s="123" t="e">
        <f>AND(Datos!E23,"AAAAAGfv/+U=")</f>
        <v>#VALUE!</v>
      </c>
      <c r="HW2" s="123" t="e">
        <f>AND(Datos!F23,"AAAAAGfv/+Y=")</f>
        <v>#VALUE!</v>
      </c>
      <c r="HX2" s="123" t="e">
        <f>AND(Datos!G23,"AAAAAGfv/+c=")</f>
        <v>#VALUE!</v>
      </c>
      <c r="HY2" s="123" t="e">
        <f>AND(Datos!H23,"AAAAAGfv/+g=")</f>
        <v>#VALUE!</v>
      </c>
      <c r="HZ2" s="123" t="e">
        <f>AND(Datos!I23,"AAAAAGfv/+k=")</f>
        <v>#VALUE!</v>
      </c>
      <c r="IA2" s="123" t="e">
        <f>AND(Datos!J23,"AAAAAGfv/+o=")</f>
        <v>#VALUE!</v>
      </c>
      <c r="IB2" s="123" t="e">
        <f>AND(Datos!K23,"AAAAAGfv/+s=")</f>
        <v>#VALUE!</v>
      </c>
      <c r="IC2" s="123" t="e">
        <f>AND(Datos!L23,"AAAAAGfv/+w=")</f>
        <v>#VALUE!</v>
      </c>
      <c r="ID2" s="123" t="e">
        <f>AND(Datos!M23,"AAAAAGfv/+0=")</f>
        <v>#VALUE!</v>
      </c>
      <c r="IE2" s="123" t="e">
        <f>AND(Datos!N23,"AAAAAGfv/+4=")</f>
        <v>#VALUE!</v>
      </c>
      <c r="IF2" s="123" t="e">
        <f>AND(Datos!O23,"AAAAAGfv/+8=")</f>
        <v>#VALUE!</v>
      </c>
      <c r="IG2" s="123" t="e">
        <f>AND(Datos!P23,"AAAAAGfv//A=")</f>
        <v>#VALUE!</v>
      </c>
      <c r="IH2" s="123" t="e">
        <f>AND(Datos!Q23,"AAAAAGfv//E=")</f>
        <v>#VALUE!</v>
      </c>
      <c r="II2" s="123" t="e">
        <f>AND(Datos!R23,"AAAAAGfv//I=")</f>
        <v>#VALUE!</v>
      </c>
      <c r="IJ2" s="123" t="e">
        <f>AND(Datos!S23,"AAAAAGfv//M=")</f>
        <v>#VALUE!</v>
      </c>
      <c r="IK2" s="123" t="e">
        <f>AND(Datos!T23,"AAAAAGfv//Q=")</f>
        <v>#VALUE!</v>
      </c>
      <c r="IL2" s="123" t="e">
        <f>AND(Datos!U23,"AAAAAGfv//U=")</f>
        <v>#VALUE!</v>
      </c>
      <c r="IM2" s="123" t="e">
        <f>AND(Datos!V23,"AAAAAGfv//Y=")</f>
        <v>#VALUE!</v>
      </c>
      <c r="IN2" s="123" t="e">
        <f>AND(Datos!W23,"AAAAAGfv//c=")</f>
        <v>#VALUE!</v>
      </c>
      <c r="IO2" s="123">
        <f>IF(Datos!24:24,"AAAAAGfv//g=",0)</f>
        <v>0</v>
      </c>
      <c r="IP2" s="123" t="e">
        <f>AND(Datos!A24,"AAAAAGfv//k=")</f>
        <v>#VALUE!</v>
      </c>
      <c r="IQ2" s="123" t="e">
        <f>AND(Datos!B24,"AAAAAGfv//o=")</f>
        <v>#VALUE!</v>
      </c>
      <c r="IR2" s="123" t="e">
        <f>AND(Datos!C24,"AAAAAGfv//s=")</f>
        <v>#VALUE!</v>
      </c>
      <c r="IS2" s="123" t="e">
        <f>AND(Datos!D24,"AAAAAGfv//w=")</f>
        <v>#VALUE!</v>
      </c>
      <c r="IT2" s="123" t="e">
        <f>AND(Datos!E24,"AAAAAGfv//0=")</f>
        <v>#VALUE!</v>
      </c>
      <c r="IU2" s="123" t="e">
        <f>AND(Datos!F24,"AAAAAGfv//4=")</f>
        <v>#VALUE!</v>
      </c>
      <c r="IV2" s="123" t="e">
        <f>AND(Datos!G24,"AAAAAGfv//8=")</f>
        <v>#VALUE!</v>
      </c>
    </row>
    <row r="3" spans="1:256" ht="14.4">
      <c r="A3" s="123" t="e">
        <f>AND(Datos!H24,"AAAAADa49wA=")</f>
        <v>#VALUE!</v>
      </c>
      <c r="B3" s="123" t="e">
        <f>AND(Datos!I24,"AAAAADa49wE=")</f>
        <v>#VALUE!</v>
      </c>
      <c r="C3" s="123" t="e">
        <f>AND(Datos!J24,"AAAAADa49wI=")</f>
        <v>#VALUE!</v>
      </c>
      <c r="D3" s="123" t="e">
        <f>AND(Datos!K24,"AAAAADa49wM=")</f>
        <v>#VALUE!</v>
      </c>
      <c r="E3" s="123" t="e">
        <f>AND(Datos!L24,"AAAAADa49wQ=")</f>
        <v>#VALUE!</v>
      </c>
      <c r="F3" s="123" t="e">
        <f>AND(Datos!M24,"AAAAADa49wU=")</f>
        <v>#VALUE!</v>
      </c>
      <c r="G3" s="123" t="e">
        <f>AND(Datos!N24,"AAAAADa49wY=")</f>
        <v>#VALUE!</v>
      </c>
      <c r="H3" s="123" t="e">
        <f>AND(Datos!O24,"AAAAADa49wc=")</f>
        <v>#VALUE!</v>
      </c>
      <c r="I3" s="123" t="e">
        <f>AND(Datos!P24,"AAAAADa49wg=")</f>
        <v>#VALUE!</v>
      </c>
      <c r="J3" s="123" t="e">
        <f>AND(Datos!Q24,"AAAAADa49wk=")</f>
        <v>#VALUE!</v>
      </c>
      <c r="K3" s="123" t="e">
        <f>AND(Datos!R24,"AAAAADa49wo=")</f>
        <v>#VALUE!</v>
      </c>
      <c r="L3" s="123" t="e">
        <f>AND(Datos!S24,"AAAAADa49ws=")</f>
        <v>#VALUE!</v>
      </c>
      <c r="M3" s="123" t="e">
        <f>AND(Datos!T24,"AAAAADa49ww=")</f>
        <v>#VALUE!</v>
      </c>
      <c r="N3" s="123" t="e">
        <f>AND(Datos!U24,"AAAAADa49w0=")</f>
        <v>#VALUE!</v>
      </c>
      <c r="O3" s="123" t="e">
        <f>AND(Datos!V24,"AAAAADa49w4=")</f>
        <v>#VALUE!</v>
      </c>
      <c r="P3" s="123" t="e">
        <f>AND(Datos!W24,"AAAAADa49w8=")</f>
        <v>#VALUE!</v>
      </c>
      <c r="Q3" s="123">
        <f>IF(Datos!25:25,"AAAAADa49xA=",0)</f>
        <v>0</v>
      </c>
      <c r="R3" s="123" t="e">
        <f>AND(Datos!A25,"AAAAADa49xE=")</f>
        <v>#VALUE!</v>
      </c>
      <c r="S3" s="123" t="e">
        <f>AND(Datos!B25,"AAAAADa49xI=")</f>
        <v>#VALUE!</v>
      </c>
      <c r="T3" s="123" t="e">
        <f>AND(Datos!C25,"AAAAADa49xM=")</f>
        <v>#VALUE!</v>
      </c>
      <c r="U3" s="123" t="e">
        <f>AND(Datos!D25,"AAAAADa49xQ=")</f>
        <v>#VALUE!</v>
      </c>
      <c r="V3" s="123" t="e">
        <f>AND(Datos!E25,"AAAAADa49xU=")</f>
        <v>#VALUE!</v>
      </c>
      <c r="W3" s="123" t="e">
        <f>AND(Datos!F25,"AAAAADa49xY=")</f>
        <v>#VALUE!</v>
      </c>
      <c r="X3" s="123" t="e">
        <f>AND(Datos!G25,"AAAAADa49xc=")</f>
        <v>#VALUE!</v>
      </c>
      <c r="Y3" s="123" t="e">
        <f>AND(Datos!H25,"AAAAADa49xg=")</f>
        <v>#VALUE!</v>
      </c>
      <c r="Z3" s="123" t="e">
        <f>AND(Datos!I25,"AAAAADa49xk=")</f>
        <v>#VALUE!</v>
      </c>
      <c r="AA3" s="123" t="e">
        <f>AND(Datos!J25,"AAAAADa49xo=")</f>
        <v>#VALUE!</v>
      </c>
      <c r="AB3" s="123" t="e">
        <f>AND(Datos!K25,"AAAAADa49xs=")</f>
        <v>#VALUE!</v>
      </c>
      <c r="AC3" s="123" t="e">
        <f>AND(Datos!L25,"AAAAADa49xw=")</f>
        <v>#VALUE!</v>
      </c>
      <c r="AD3" s="123" t="e">
        <f>AND(Datos!M25,"AAAAADa49x0=")</f>
        <v>#VALUE!</v>
      </c>
      <c r="AE3" s="123" t="e">
        <f>AND(Datos!N25,"AAAAADa49x4=")</f>
        <v>#VALUE!</v>
      </c>
      <c r="AF3" s="123" t="e">
        <f>AND(Datos!O25,"AAAAADa49x8=")</f>
        <v>#VALUE!</v>
      </c>
      <c r="AG3" s="123" t="e">
        <f>AND(Datos!P25,"AAAAADa49yA=")</f>
        <v>#VALUE!</v>
      </c>
      <c r="AH3" s="123" t="e">
        <f>AND(Datos!Q25,"AAAAADa49yE=")</f>
        <v>#VALUE!</v>
      </c>
      <c r="AI3" s="123" t="e">
        <f>AND(Datos!R25,"AAAAADa49yI=")</f>
        <v>#VALUE!</v>
      </c>
      <c r="AJ3" s="123" t="e">
        <f>AND(Datos!S25,"AAAAADa49yM=")</f>
        <v>#VALUE!</v>
      </c>
      <c r="AK3" s="123" t="e">
        <f>AND(Datos!T25,"AAAAADa49yQ=")</f>
        <v>#VALUE!</v>
      </c>
      <c r="AL3" s="123" t="e">
        <f>AND(Datos!U25,"AAAAADa49yU=")</f>
        <v>#VALUE!</v>
      </c>
      <c r="AM3" s="123" t="e">
        <f>AND(Datos!V25,"AAAAADa49yY=")</f>
        <v>#VALUE!</v>
      </c>
      <c r="AN3" s="123" t="e">
        <f>AND(Datos!W25,"AAAAADa49yc=")</f>
        <v>#VALUE!</v>
      </c>
      <c r="AO3" s="123">
        <f>IF(Datos!26:26,"AAAAADa49yg=",0)</f>
        <v>0</v>
      </c>
      <c r="AP3" s="123" t="e">
        <f>AND(Datos!A26,"AAAAADa49yk=")</f>
        <v>#VALUE!</v>
      </c>
      <c r="AQ3" s="123" t="e">
        <f>AND(Datos!B26,"AAAAADa49yo=")</f>
        <v>#VALUE!</v>
      </c>
      <c r="AR3" s="123" t="e">
        <f>AND(Datos!C26,"AAAAADa49ys=")</f>
        <v>#VALUE!</v>
      </c>
      <c r="AS3" s="123" t="e">
        <f>AND(Datos!D26,"AAAAADa49yw=")</f>
        <v>#VALUE!</v>
      </c>
      <c r="AT3" s="123" t="e">
        <f>AND(Datos!E26,"AAAAADa49y0=")</f>
        <v>#VALUE!</v>
      </c>
      <c r="AU3" s="123" t="e">
        <f>AND(Datos!F26,"AAAAADa49y4=")</f>
        <v>#VALUE!</v>
      </c>
      <c r="AV3" s="123" t="e">
        <f>AND(Datos!G26,"AAAAADa49y8=")</f>
        <v>#VALUE!</v>
      </c>
      <c r="AW3" s="123" t="e">
        <f>AND(Datos!H26,"AAAAADa49zA=")</f>
        <v>#VALUE!</v>
      </c>
      <c r="AX3" s="123" t="e">
        <f>AND(Datos!I26,"AAAAADa49zE=")</f>
        <v>#VALUE!</v>
      </c>
      <c r="AY3" s="123" t="e">
        <f>AND(Datos!J26,"AAAAADa49zI=")</f>
        <v>#VALUE!</v>
      </c>
      <c r="AZ3" s="123" t="e">
        <f>AND(Datos!K26,"AAAAADa49zM=")</f>
        <v>#VALUE!</v>
      </c>
      <c r="BA3" s="123" t="e">
        <f>AND(Datos!L26,"AAAAADa49zQ=")</f>
        <v>#VALUE!</v>
      </c>
      <c r="BB3" s="123" t="e">
        <f>AND(Datos!M26,"AAAAADa49zU=")</f>
        <v>#VALUE!</v>
      </c>
      <c r="BC3" s="123" t="e">
        <f>AND(Datos!N26,"AAAAADa49zY=")</f>
        <v>#VALUE!</v>
      </c>
      <c r="BD3" s="123" t="e">
        <f>AND(Datos!O26,"AAAAADa49zc=")</f>
        <v>#VALUE!</v>
      </c>
      <c r="BE3" s="123" t="e">
        <f>AND(Datos!P26,"AAAAADa49zg=")</f>
        <v>#VALUE!</v>
      </c>
      <c r="BF3" s="123" t="e">
        <f>AND(Datos!Q26,"AAAAADa49zk=")</f>
        <v>#VALUE!</v>
      </c>
      <c r="BG3" s="123" t="e">
        <f>AND(Datos!R26,"AAAAADa49zo=")</f>
        <v>#VALUE!</v>
      </c>
      <c r="BH3" s="123" t="e">
        <f>AND(Datos!S26,"AAAAADa49zs=")</f>
        <v>#VALUE!</v>
      </c>
      <c r="BI3" s="123" t="e">
        <f>AND(Datos!T26,"AAAAADa49zw=")</f>
        <v>#VALUE!</v>
      </c>
      <c r="BJ3" s="123" t="e">
        <f>AND(Datos!U26,"AAAAADa49z0=")</f>
        <v>#VALUE!</v>
      </c>
      <c r="BK3" s="123" t="e">
        <f>AND(Datos!V26,"AAAAADa49z4=")</f>
        <v>#VALUE!</v>
      </c>
      <c r="BL3" s="123" t="e">
        <f>AND(Datos!W26,"AAAAADa49z8=")</f>
        <v>#VALUE!</v>
      </c>
      <c r="BM3" s="123">
        <f>IF(Datos!27:27,"AAAAADa490A=",0)</f>
        <v>0</v>
      </c>
      <c r="BN3" s="123" t="e">
        <f>AND(Datos!A27,"AAAAADa490E=")</f>
        <v>#VALUE!</v>
      </c>
      <c r="BO3" s="123" t="e">
        <f>AND(Datos!B27,"AAAAADa490I=")</f>
        <v>#VALUE!</v>
      </c>
      <c r="BP3" s="123" t="e">
        <f>AND(Datos!C27,"AAAAADa490M=")</f>
        <v>#VALUE!</v>
      </c>
      <c r="BQ3" s="123" t="e">
        <f>AND(Datos!D27,"AAAAADa490Q=")</f>
        <v>#VALUE!</v>
      </c>
      <c r="BR3" s="123" t="e">
        <f>AND(Datos!E27,"AAAAADa490U=")</f>
        <v>#VALUE!</v>
      </c>
      <c r="BS3" s="123" t="e">
        <f>AND(Datos!#REF!,"AAAAADa490Y=")</f>
        <v>#REF!</v>
      </c>
      <c r="BT3" s="123" t="e">
        <f>AND(Datos!F27,"AAAAADa490c=")</f>
        <v>#VALUE!</v>
      </c>
      <c r="BU3" s="123" t="e">
        <f>AND(Datos!G27,"AAAAADa490g=")</f>
        <v>#VALUE!</v>
      </c>
      <c r="BV3" s="123" t="e">
        <f>AND(Datos!I27,"AAAAADa490k=")</f>
        <v>#VALUE!</v>
      </c>
      <c r="BW3" s="123" t="e">
        <f>AND(Datos!J27,"AAAAADa490o=")</f>
        <v>#VALUE!</v>
      </c>
      <c r="BX3" s="123" t="e">
        <f>AND(Datos!K27,"AAAAADa490s=")</f>
        <v>#VALUE!</v>
      </c>
      <c r="BY3" s="123" t="e">
        <f>AND(Datos!L27,"AAAAADa490w=")</f>
        <v>#VALUE!</v>
      </c>
      <c r="BZ3" s="123" t="e">
        <f>AND(Datos!M27,"AAAAADa4900=")</f>
        <v>#VALUE!</v>
      </c>
      <c r="CA3" s="123" t="e">
        <f>AND(Datos!N27,"AAAAADa4904=")</f>
        <v>#VALUE!</v>
      </c>
      <c r="CB3" s="123" t="e">
        <f>AND(Datos!O27,"AAAAADa4908=")</f>
        <v>#VALUE!</v>
      </c>
      <c r="CC3" s="123" t="e">
        <f>AND(Datos!P27,"AAAAADa491A=")</f>
        <v>#VALUE!</v>
      </c>
      <c r="CD3" s="123" t="e">
        <f>AND(Datos!Q27,"AAAAADa491E=")</f>
        <v>#VALUE!</v>
      </c>
      <c r="CE3" s="123" t="e">
        <f>AND(Datos!R27,"AAAAADa491I=")</f>
        <v>#VALUE!</v>
      </c>
      <c r="CF3" s="123" t="e">
        <f>AND(Datos!S27,"AAAAADa491M=")</f>
        <v>#VALUE!</v>
      </c>
      <c r="CG3" s="123" t="e">
        <f>AND(Datos!T27,"AAAAADa491Q=")</f>
        <v>#VALUE!</v>
      </c>
      <c r="CH3" s="123" t="e">
        <f>AND(Datos!U27,"AAAAADa491U=")</f>
        <v>#VALUE!</v>
      </c>
      <c r="CI3" s="123" t="e">
        <f>AND(Datos!V27,"AAAAADa491Y=")</f>
        <v>#VALUE!</v>
      </c>
      <c r="CJ3" s="123" t="e">
        <f>AND(Datos!W27,"AAAAADa491c=")</f>
        <v>#VALUE!</v>
      </c>
      <c r="CK3" s="123">
        <f>IF(Datos!28:28,"AAAAADa491g=",0)</f>
        <v>0</v>
      </c>
      <c r="CL3" s="123" t="e">
        <f>AND(Datos!A28,"AAAAADa491k=")</f>
        <v>#VALUE!</v>
      </c>
      <c r="CM3" s="123" t="e">
        <f>AND(Datos!B28,"AAAAADa491o=")</f>
        <v>#VALUE!</v>
      </c>
      <c r="CN3" s="123" t="e">
        <f>AND(Datos!C28,"AAAAADa491s=")</f>
        <v>#VALUE!</v>
      </c>
      <c r="CO3" s="123" t="e">
        <f>AND(Datos!D28,"AAAAADa491w=")</f>
        <v>#VALUE!</v>
      </c>
      <c r="CP3" s="123" t="e">
        <f>AND(Datos!E28,"AAAAADa4910=")</f>
        <v>#VALUE!</v>
      </c>
      <c r="CQ3" s="123" t="e">
        <f>AND(Datos!#REF!,"AAAAADa4914=")</f>
        <v>#REF!</v>
      </c>
      <c r="CR3" s="123" t="e">
        <f>AND(Datos!F28,"AAAAADa4918=")</f>
        <v>#VALUE!</v>
      </c>
      <c r="CS3" s="123" t="e">
        <f>AND(Datos!G28,"AAAAADa492A=")</f>
        <v>#VALUE!</v>
      </c>
      <c r="CT3" s="123" t="e">
        <f>AND(Datos!I28,"AAAAADa492E=")</f>
        <v>#VALUE!</v>
      </c>
      <c r="CU3" s="123" t="e">
        <f>AND(Datos!J28,"AAAAADa492I=")</f>
        <v>#VALUE!</v>
      </c>
      <c r="CV3" s="123" t="e">
        <f>AND(Datos!K28,"AAAAADa492M=")</f>
        <v>#VALUE!</v>
      </c>
      <c r="CW3" s="123" t="e">
        <f>AND(Datos!L28,"AAAAADa492Q=")</f>
        <v>#VALUE!</v>
      </c>
      <c r="CX3" s="123" t="e">
        <f>AND(Datos!M28,"AAAAADa492U=")</f>
        <v>#VALUE!</v>
      </c>
      <c r="CY3" s="123" t="e">
        <f>AND(Datos!N28,"AAAAADa492Y=")</f>
        <v>#VALUE!</v>
      </c>
      <c r="CZ3" s="123" t="e">
        <f>AND(Datos!O28,"AAAAADa492c=")</f>
        <v>#VALUE!</v>
      </c>
      <c r="DA3" s="123" t="e">
        <f>AND(Datos!P28,"AAAAADa492g=")</f>
        <v>#VALUE!</v>
      </c>
      <c r="DB3" s="123" t="e">
        <f>AND(Datos!Q28,"AAAAADa492k=")</f>
        <v>#VALUE!</v>
      </c>
      <c r="DC3" s="123" t="e">
        <f>AND(Datos!R28,"AAAAADa492o=")</f>
        <v>#VALUE!</v>
      </c>
      <c r="DD3" s="123" t="e">
        <f>AND(Datos!S28,"AAAAADa492s=")</f>
        <v>#VALUE!</v>
      </c>
      <c r="DE3" s="123" t="e">
        <f>AND(Datos!T28,"AAAAADa492w=")</f>
        <v>#VALUE!</v>
      </c>
      <c r="DF3" s="123" t="e">
        <f>AND(Datos!U28,"AAAAADa4920=")</f>
        <v>#VALUE!</v>
      </c>
      <c r="DG3" s="123" t="e">
        <f>AND(Datos!V28,"AAAAADa4924=")</f>
        <v>#VALUE!</v>
      </c>
      <c r="DH3" s="123" t="e">
        <f>AND(Datos!W28,"AAAAADa4928=")</f>
        <v>#VALUE!</v>
      </c>
      <c r="DI3" s="123">
        <f>IF(Datos!29:29,"AAAAADa493A=",0)</f>
        <v>0</v>
      </c>
      <c r="DJ3" s="123" t="e">
        <f>AND(Datos!A29,"AAAAADa493E=")</f>
        <v>#VALUE!</v>
      </c>
      <c r="DK3" s="123" t="e">
        <f>AND(Datos!B29,"AAAAADa493I=")</f>
        <v>#VALUE!</v>
      </c>
      <c r="DL3" s="123" t="e">
        <f>AND(Datos!C29,"AAAAADa493M=")</f>
        <v>#VALUE!</v>
      </c>
      <c r="DM3" s="123" t="e">
        <f>AND(Datos!D29,"AAAAADa493Q=")</f>
        <v>#VALUE!</v>
      </c>
      <c r="DN3" s="123" t="e">
        <f>AND(Datos!E29,"AAAAADa493U=")</f>
        <v>#VALUE!</v>
      </c>
      <c r="DO3" s="123" t="e">
        <f>AND(Datos!F29,"AAAAADa493Y=")</f>
        <v>#VALUE!</v>
      </c>
      <c r="DP3" s="123" t="e">
        <f>AND(Datos!G29,"AAAAADa493c=")</f>
        <v>#VALUE!</v>
      </c>
      <c r="DQ3" s="123" t="e">
        <f>AND(Datos!H29,"AAAAADa493g=")</f>
        <v>#VALUE!</v>
      </c>
      <c r="DR3" s="123" t="e">
        <f>AND(Datos!I29,"AAAAADa493k=")</f>
        <v>#VALUE!</v>
      </c>
      <c r="DS3" s="123" t="e">
        <f>AND(Datos!J29,"AAAAADa493o=")</f>
        <v>#VALUE!</v>
      </c>
      <c r="DT3" s="123" t="e">
        <f>AND(Datos!K29,"AAAAADa493s=")</f>
        <v>#VALUE!</v>
      </c>
      <c r="DU3" s="123" t="e">
        <f>AND(Datos!L29,"AAAAADa493w=")</f>
        <v>#VALUE!</v>
      </c>
      <c r="DV3" s="123" t="e">
        <f>AND(Datos!M29,"AAAAADa4930=")</f>
        <v>#VALUE!</v>
      </c>
      <c r="DW3" s="123" t="e">
        <f>AND(Datos!N29,"AAAAADa4934=")</f>
        <v>#VALUE!</v>
      </c>
      <c r="DX3" s="123" t="e">
        <f>AND(Datos!O29,"AAAAADa4938=")</f>
        <v>#VALUE!</v>
      </c>
      <c r="DY3" s="123" t="e">
        <f>AND(Datos!P29,"AAAAADa494A=")</f>
        <v>#VALUE!</v>
      </c>
      <c r="DZ3" s="123" t="e">
        <f>AND(Datos!Q29,"AAAAADa494E=")</f>
        <v>#VALUE!</v>
      </c>
      <c r="EA3" s="123" t="e">
        <f>AND(Datos!R29,"AAAAADa494I=")</f>
        <v>#VALUE!</v>
      </c>
      <c r="EB3" s="123" t="e">
        <f>AND(Datos!S29,"AAAAADa494M=")</f>
        <v>#VALUE!</v>
      </c>
      <c r="EC3" s="123" t="e">
        <f>AND(Datos!T29,"AAAAADa494Q=")</f>
        <v>#VALUE!</v>
      </c>
      <c r="ED3" s="123" t="e">
        <f>AND(Datos!U29,"AAAAADa494U=")</f>
        <v>#VALUE!</v>
      </c>
      <c r="EE3" s="123" t="e">
        <f>AND(Datos!V29,"AAAAADa494Y=")</f>
        <v>#VALUE!</v>
      </c>
      <c r="EF3" s="123" t="e">
        <f>AND(Datos!W29,"AAAAADa494c=")</f>
        <v>#VALUE!</v>
      </c>
      <c r="EG3" s="123">
        <f>IF(Datos!31:31,"AAAAADa494g=",0)</f>
        <v>0</v>
      </c>
      <c r="EH3" s="123" t="e">
        <f>AND(Datos!A31,"AAAAADa494k=")</f>
        <v>#VALUE!</v>
      </c>
      <c r="EI3" s="123" t="e">
        <f>AND(Datos!B31,"AAAAADa494o=")</f>
        <v>#VALUE!</v>
      </c>
      <c r="EJ3" s="123" t="e">
        <f>AND(Datos!C31,"AAAAADa494s=")</f>
        <v>#VALUE!</v>
      </c>
      <c r="EK3" s="123" t="e">
        <f>AND(Datos!D31,"AAAAADa494w=")</f>
        <v>#VALUE!</v>
      </c>
      <c r="EL3" s="123" t="e">
        <f>AND(Datos!E31,"AAAAADa4940=")</f>
        <v>#VALUE!</v>
      </c>
      <c r="EM3" s="123" t="e">
        <f>AND(Datos!F31,"AAAAADa4944=")</f>
        <v>#VALUE!</v>
      </c>
      <c r="EN3" s="123" t="e">
        <f>AND(Datos!G31,"AAAAADa4948=")</f>
        <v>#VALUE!</v>
      </c>
      <c r="EO3" s="123" t="e">
        <f>AND(Datos!H31,"AAAAADa495A=")</f>
        <v>#VALUE!</v>
      </c>
      <c r="EP3" s="123" t="e">
        <f>AND(Datos!I31,"AAAAADa495E=")</f>
        <v>#VALUE!</v>
      </c>
      <c r="EQ3" s="123" t="e">
        <f>AND(Datos!J31,"AAAAADa495I=")</f>
        <v>#VALUE!</v>
      </c>
      <c r="ER3" s="123" t="e">
        <f>AND(Datos!K31,"AAAAADa495M=")</f>
        <v>#VALUE!</v>
      </c>
      <c r="ES3" s="123" t="e">
        <f>AND(Datos!L31,"AAAAADa495Q=")</f>
        <v>#VALUE!</v>
      </c>
      <c r="ET3" s="123" t="e">
        <f>AND(Datos!M31,"AAAAADa495U=")</f>
        <v>#VALUE!</v>
      </c>
      <c r="EU3" s="123" t="e">
        <f>AND(Datos!N31,"AAAAADa495Y=")</f>
        <v>#VALUE!</v>
      </c>
      <c r="EV3" s="123" t="e">
        <f>AND(Datos!O31,"AAAAADa495c=")</f>
        <v>#VALUE!</v>
      </c>
      <c r="EW3" s="123" t="e">
        <f>AND(Datos!P31,"AAAAADa495g=")</f>
        <v>#VALUE!</v>
      </c>
      <c r="EX3" s="123" t="e">
        <f>AND(Datos!Q31,"AAAAADa495k=")</f>
        <v>#VALUE!</v>
      </c>
      <c r="EY3" s="123" t="e">
        <f>AND(Datos!R31,"AAAAADa495o=")</f>
        <v>#VALUE!</v>
      </c>
      <c r="EZ3" s="123" t="e">
        <f>AND(Datos!S31,"AAAAADa495s=")</f>
        <v>#VALUE!</v>
      </c>
      <c r="FA3" s="123" t="e">
        <f>AND(Datos!T31,"AAAAADa495w=")</f>
        <v>#VALUE!</v>
      </c>
      <c r="FB3" s="123" t="e">
        <f>AND(Datos!U31,"AAAAADa4950=")</f>
        <v>#VALUE!</v>
      </c>
      <c r="FC3" s="123" t="e">
        <f>AND(Datos!V31,"AAAAADa4954=")</f>
        <v>#VALUE!</v>
      </c>
      <c r="FD3" s="123" t="e">
        <f>AND(Datos!W31,"AAAAADa4958=")</f>
        <v>#VALUE!</v>
      </c>
      <c r="FE3" s="123">
        <f>IF(Datos!32:32,"AAAAADa496A=",0)</f>
        <v>0</v>
      </c>
      <c r="FF3" s="123" t="e">
        <f>AND(Datos!A32,"AAAAADa496E=")</f>
        <v>#VALUE!</v>
      </c>
      <c r="FG3" s="123" t="e">
        <f>AND(Datos!B32,"AAAAADa496I=")</f>
        <v>#VALUE!</v>
      </c>
      <c r="FH3" s="123" t="e">
        <f>AND(Datos!C32,"AAAAADa496M=")</f>
        <v>#VALUE!</v>
      </c>
      <c r="FI3" s="123" t="e">
        <f>AND(Datos!D32,"AAAAADa496Q=")</f>
        <v>#VALUE!</v>
      </c>
      <c r="FJ3" s="123" t="e">
        <f>AND(Datos!E32,"AAAAADa496U=")</f>
        <v>#VALUE!</v>
      </c>
      <c r="FK3" s="123" t="e">
        <f>AND(Datos!F32,"AAAAADa496Y=")</f>
        <v>#VALUE!</v>
      </c>
      <c r="FL3" s="123" t="e">
        <f>AND(Datos!G32,"AAAAADa496c=")</f>
        <v>#VALUE!</v>
      </c>
      <c r="FM3" s="123" t="e">
        <f>AND(Datos!H32,"AAAAADa496g=")</f>
        <v>#VALUE!</v>
      </c>
      <c r="FN3" s="123" t="e">
        <f>AND(Datos!I32,"AAAAADa496k=")</f>
        <v>#VALUE!</v>
      </c>
      <c r="FO3" s="123" t="e">
        <f>AND(Datos!J32,"AAAAADa496o=")</f>
        <v>#VALUE!</v>
      </c>
      <c r="FP3" s="123" t="e">
        <f>AND(Datos!K32,"AAAAADa496s=")</f>
        <v>#VALUE!</v>
      </c>
      <c r="FQ3" s="123" t="e">
        <f>AND(Datos!L32,"AAAAADa496w=")</f>
        <v>#VALUE!</v>
      </c>
      <c r="FR3" s="123" t="e">
        <f>AND(Datos!M32,"AAAAADa4960=")</f>
        <v>#VALUE!</v>
      </c>
      <c r="FS3" s="123" t="e">
        <f>AND(Datos!N32,"AAAAADa4964=")</f>
        <v>#VALUE!</v>
      </c>
      <c r="FT3" s="123" t="e">
        <f>AND(Datos!O32,"AAAAADa4968=")</f>
        <v>#VALUE!</v>
      </c>
      <c r="FU3" s="123" t="e">
        <f>AND(Datos!P32,"AAAAADa497A=")</f>
        <v>#VALUE!</v>
      </c>
      <c r="FV3" s="123" t="e">
        <f>AND(Datos!Q32,"AAAAADa497E=")</f>
        <v>#VALUE!</v>
      </c>
      <c r="FW3" s="123" t="e">
        <f>AND(Datos!R32,"AAAAADa497I=")</f>
        <v>#VALUE!</v>
      </c>
      <c r="FX3" s="123" t="e">
        <f>AND(Datos!S32,"AAAAADa497M=")</f>
        <v>#VALUE!</v>
      </c>
      <c r="FY3" s="123" t="e">
        <f>AND(Datos!T32,"AAAAADa497Q=")</f>
        <v>#VALUE!</v>
      </c>
      <c r="FZ3" s="123" t="e">
        <f>AND(Datos!U32,"AAAAADa497U=")</f>
        <v>#VALUE!</v>
      </c>
      <c r="GA3" s="123" t="e">
        <f>AND(Datos!V32,"AAAAADa497Y=")</f>
        <v>#VALUE!</v>
      </c>
      <c r="GB3" s="123" t="e">
        <f>AND(Datos!W32,"AAAAADa497c=")</f>
        <v>#VALUE!</v>
      </c>
      <c r="GC3" s="123">
        <f>IF(Datos!33:33,"AAAAADa497g=",0)</f>
        <v>0</v>
      </c>
      <c r="GD3" s="123" t="e">
        <f>AND(Datos!A33,"AAAAADa497k=")</f>
        <v>#VALUE!</v>
      </c>
      <c r="GE3" s="123" t="e">
        <f>AND(Datos!B33,"AAAAADa497o=")</f>
        <v>#VALUE!</v>
      </c>
      <c r="GF3" s="123" t="e">
        <f>AND(Datos!C33,"AAAAADa497s=")</f>
        <v>#VALUE!</v>
      </c>
      <c r="GG3" s="123" t="e">
        <f>AND(Datos!D33,"AAAAADa497w=")</f>
        <v>#VALUE!</v>
      </c>
      <c r="GH3" s="123" t="e">
        <f>AND(Datos!E33,"AAAAADa4970=")</f>
        <v>#VALUE!</v>
      </c>
      <c r="GI3" s="123" t="e">
        <f>AND(Datos!F33,"AAAAADa4974=")</f>
        <v>#VALUE!</v>
      </c>
      <c r="GJ3" s="123" t="e">
        <f>AND(Datos!G33,"AAAAADa4978=")</f>
        <v>#VALUE!</v>
      </c>
      <c r="GK3" s="123" t="e">
        <f>AND(Datos!H33,"AAAAADa498A=")</f>
        <v>#VALUE!</v>
      </c>
      <c r="GL3" s="123" t="e">
        <f>AND(Datos!I33,"AAAAADa498E=")</f>
        <v>#VALUE!</v>
      </c>
      <c r="GM3" s="123" t="e">
        <f>AND(Datos!J33,"AAAAADa498I=")</f>
        <v>#VALUE!</v>
      </c>
      <c r="GN3" s="123" t="e">
        <f>AND(Datos!K33,"AAAAADa498M=")</f>
        <v>#VALUE!</v>
      </c>
      <c r="GO3" s="123" t="e">
        <f>AND(Datos!L33,"AAAAADa498Q=")</f>
        <v>#VALUE!</v>
      </c>
      <c r="GP3" s="123" t="e">
        <f>AND(Datos!M33,"AAAAADa498U=")</f>
        <v>#VALUE!</v>
      </c>
      <c r="GQ3" s="123" t="e">
        <f>AND(Datos!N33,"AAAAADa498Y=")</f>
        <v>#VALUE!</v>
      </c>
      <c r="GR3" s="123" t="e">
        <f>AND(Datos!O33,"AAAAADa498c=")</f>
        <v>#VALUE!</v>
      </c>
      <c r="GS3" s="123" t="e">
        <f>AND(Datos!P33,"AAAAADa498g=")</f>
        <v>#VALUE!</v>
      </c>
      <c r="GT3" s="123" t="e">
        <f>AND(Datos!Q33,"AAAAADa498k=")</f>
        <v>#VALUE!</v>
      </c>
      <c r="GU3" s="123" t="e">
        <f>AND(Datos!R33,"AAAAADa498o=")</f>
        <v>#VALUE!</v>
      </c>
      <c r="GV3" s="123" t="e">
        <f>AND(Datos!S33,"AAAAADa498s=")</f>
        <v>#VALUE!</v>
      </c>
      <c r="GW3" s="123" t="e">
        <f>AND(Datos!T33,"AAAAADa498w=")</f>
        <v>#VALUE!</v>
      </c>
      <c r="GX3" s="123" t="e">
        <f>AND(Datos!U33,"AAAAADa4980=")</f>
        <v>#VALUE!</v>
      </c>
      <c r="GY3" s="123" t="e">
        <f>AND(Datos!V33,"AAAAADa4984=")</f>
        <v>#VALUE!</v>
      </c>
      <c r="GZ3" s="123" t="e">
        <f>AND(Datos!W33,"AAAAADa4988=")</f>
        <v>#VALUE!</v>
      </c>
      <c r="HA3" s="123">
        <f>IF(Datos!34:34,"AAAAADa499A=",0)</f>
        <v>0</v>
      </c>
      <c r="HB3" s="123" t="e">
        <f>AND(Datos!A34,"AAAAADa499E=")</f>
        <v>#VALUE!</v>
      </c>
      <c r="HC3" s="123" t="e">
        <f>AND(Datos!B34,"AAAAADa499I=")</f>
        <v>#VALUE!</v>
      </c>
      <c r="HD3" s="123" t="e">
        <f>AND(Datos!C34,"AAAAADa499M=")</f>
        <v>#VALUE!</v>
      </c>
      <c r="HE3" s="123" t="e">
        <f>AND(Datos!D34,"AAAAADa499Q=")</f>
        <v>#VALUE!</v>
      </c>
      <c r="HF3" s="123" t="e">
        <f>AND(Datos!E34,"AAAAADa499U=")</f>
        <v>#VALUE!</v>
      </c>
      <c r="HG3" s="123" t="e">
        <f>AND(Datos!F34,"AAAAADa499Y=")</f>
        <v>#VALUE!</v>
      </c>
      <c r="HH3" s="123" t="e">
        <f>AND(Datos!G34,"AAAAADa499c=")</f>
        <v>#VALUE!</v>
      </c>
      <c r="HI3" s="123" t="e">
        <f>AND(Datos!H34,"AAAAADa499g=")</f>
        <v>#VALUE!</v>
      </c>
      <c r="HJ3" s="123" t="e">
        <f>AND(Datos!I34,"AAAAADa499k=")</f>
        <v>#VALUE!</v>
      </c>
      <c r="HK3" s="123" t="e">
        <f>AND(Datos!J34,"AAAAADa499o=")</f>
        <v>#VALUE!</v>
      </c>
      <c r="HL3" s="123" t="e">
        <f>AND(Datos!K34,"AAAAADa499s=")</f>
        <v>#VALUE!</v>
      </c>
      <c r="HM3" s="123" t="e">
        <f>AND(Datos!L34,"AAAAADa499w=")</f>
        <v>#VALUE!</v>
      </c>
      <c r="HN3" s="123" t="e">
        <f>AND(Datos!M34,"AAAAADa4990=")</f>
        <v>#VALUE!</v>
      </c>
      <c r="HO3" s="123" t="e">
        <f>AND(Datos!N34,"AAAAADa4994=")</f>
        <v>#VALUE!</v>
      </c>
      <c r="HP3" s="123" t="e">
        <f>AND(Datos!O34,"AAAAADa4998=")</f>
        <v>#VALUE!</v>
      </c>
      <c r="HQ3" s="123" t="e">
        <f>AND(Datos!P34,"AAAAADa49+A=")</f>
        <v>#VALUE!</v>
      </c>
      <c r="HR3" s="123" t="e">
        <f>AND(Datos!Q34,"AAAAADa49+E=")</f>
        <v>#VALUE!</v>
      </c>
      <c r="HS3" s="123" t="e">
        <f>AND(Datos!R34,"AAAAADa49+I=")</f>
        <v>#VALUE!</v>
      </c>
      <c r="HT3" s="123" t="e">
        <f>AND(Datos!S34,"AAAAADa49+M=")</f>
        <v>#VALUE!</v>
      </c>
      <c r="HU3" s="123" t="e">
        <f>AND(Datos!T34,"AAAAADa49+Q=")</f>
        <v>#VALUE!</v>
      </c>
      <c r="HV3" s="123" t="e">
        <f>AND(Datos!U34,"AAAAADa49+U=")</f>
        <v>#VALUE!</v>
      </c>
      <c r="HW3" s="123" t="e">
        <f>AND(Datos!V34,"AAAAADa49+Y=")</f>
        <v>#VALUE!</v>
      </c>
      <c r="HX3" s="123" t="e">
        <f>AND(Datos!W34,"AAAAADa49+c=")</f>
        <v>#VALUE!</v>
      </c>
      <c r="HY3" s="123">
        <f>IF(Datos!35:35,"AAAAADa49+g=",0)</f>
        <v>0</v>
      </c>
      <c r="HZ3" s="123" t="e">
        <f>AND(Datos!A35,"AAAAADa49+k=")</f>
        <v>#VALUE!</v>
      </c>
      <c r="IA3" s="123" t="e">
        <f>AND(Datos!B35,"AAAAADa49+o=")</f>
        <v>#VALUE!</v>
      </c>
      <c r="IB3" s="123" t="e">
        <f>AND(Datos!C35,"AAAAADa49+s=")</f>
        <v>#VALUE!</v>
      </c>
      <c r="IC3" s="123" t="e">
        <f>AND(Datos!D35,"AAAAADa49+w=")</f>
        <v>#VALUE!</v>
      </c>
      <c r="ID3" s="123" t="e">
        <f>AND(Datos!E35,"AAAAADa49+0=")</f>
        <v>#VALUE!</v>
      </c>
      <c r="IE3" s="123" t="e">
        <f>AND(Datos!F35,"AAAAADa49+4=")</f>
        <v>#VALUE!</v>
      </c>
      <c r="IF3" s="123" t="e">
        <f>AND(Datos!G35,"AAAAADa49+8=")</f>
        <v>#VALUE!</v>
      </c>
      <c r="IG3" s="123" t="e">
        <f>AND(Datos!H35,"AAAAADa49/A=")</f>
        <v>#VALUE!</v>
      </c>
      <c r="IH3" s="123" t="e">
        <f>AND(Datos!I35,"AAAAADa49/E=")</f>
        <v>#VALUE!</v>
      </c>
      <c r="II3" s="123" t="e">
        <f>AND(Datos!J35,"AAAAADa49/I=")</f>
        <v>#VALUE!</v>
      </c>
      <c r="IJ3" s="123" t="e">
        <f>AND(Datos!K35,"AAAAADa49/M=")</f>
        <v>#VALUE!</v>
      </c>
      <c r="IK3" s="123" t="e">
        <f>AND(Datos!L35,"AAAAADa49/Q=")</f>
        <v>#VALUE!</v>
      </c>
      <c r="IL3" s="123" t="e">
        <f>AND(Datos!M35,"AAAAADa49/U=")</f>
        <v>#VALUE!</v>
      </c>
      <c r="IM3" s="123" t="e">
        <f>AND(Datos!N35,"AAAAADa49/Y=")</f>
        <v>#VALUE!</v>
      </c>
      <c r="IN3" s="123" t="e">
        <f>AND(Datos!O35,"AAAAADa49/c=")</f>
        <v>#VALUE!</v>
      </c>
      <c r="IO3" s="123" t="e">
        <f>AND(Datos!P35,"AAAAADa49/g=")</f>
        <v>#VALUE!</v>
      </c>
      <c r="IP3" s="123" t="e">
        <f>AND(Datos!Q35,"AAAAADa49/k=")</f>
        <v>#VALUE!</v>
      </c>
      <c r="IQ3" s="123" t="e">
        <f>AND(Datos!R35,"AAAAADa49/o=")</f>
        <v>#VALUE!</v>
      </c>
      <c r="IR3" s="123" t="e">
        <f>AND(Datos!S35,"AAAAADa49/s=")</f>
        <v>#VALUE!</v>
      </c>
      <c r="IS3" s="123" t="e">
        <f>AND(Datos!T35,"AAAAADa49/w=")</f>
        <v>#VALUE!</v>
      </c>
      <c r="IT3" s="123" t="e">
        <f>AND(Datos!U35,"AAAAADa49/0=")</f>
        <v>#VALUE!</v>
      </c>
      <c r="IU3" s="123" t="e">
        <f>AND(Datos!V35,"AAAAADa49/4=")</f>
        <v>#VALUE!</v>
      </c>
      <c r="IV3" s="123" t="e">
        <f>AND(Datos!W35,"AAAAADa49/8=")</f>
        <v>#VALUE!</v>
      </c>
    </row>
    <row r="4" spans="1:256" ht="14.4">
      <c r="A4" s="123">
        <f>IF(Datos!36:36,"AAAAAH/0uwA=",0)</f>
        <v>0</v>
      </c>
      <c r="B4" s="123" t="e">
        <f>AND(Datos!A36,"AAAAAH/0uwE=")</f>
        <v>#VALUE!</v>
      </c>
      <c r="C4" s="123" t="e">
        <f>AND(Datos!B36,"AAAAAH/0uwI=")</f>
        <v>#VALUE!</v>
      </c>
      <c r="D4" s="123" t="e">
        <f>AND(Datos!G36,"AAAAAH/0uwM=")</f>
        <v>#VALUE!</v>
      </c>
      <c r="E4" s="123" t="e">
        <f>AND(Datos!H36,"AAAAAH/0uwQ=")</f>
        <v>#VALUE!</v>
      </c>
      <c r="F4" s="123" t="e">
        <f>AND(Datos!I36,"AAAAAH/0uwU=")</f>
        <v>#VALUE!</v>
      </c>
      <c r="G4" s="123" t="e">
        <f>AND(Datos!J36,"AAAAAH/0uwY=")</f>
        <v>#VALUE!</v>
      </c>
      <c r="H4" s="123" t="e">
        <f>AND(Datos!#REF!,"AAAAAH/0uwc=")</f>
        <v>#REF!</v>
      </c>
      <c r="I4" s="123" t="e">
        <f>AND(Datos!K36,"AAAAAH/0uwg=")</f>
        <v>#VALUE!</v>
      </c>
      <c r="J4" s="123" t="e">
        <f>AND(Datos!L36,"AAAAAH/0uwk=")</f>
        <v>#VALUE!</v>
      </c>
      <c r="K4" s="123" t="e">
        <f>AND(Datos!#REF!,"AAAAAH/0uwo=")</f>
        <v>#REF!</v>
      </c>
      <c r="L4" s="123" t="e">
        <f>AND(Datos!#REF!,"AAAAAH/0uws=")</f>
        <v>#REF!</v>
      </c>
      <c r="M4" s="123" t="e">
        <f>AND(Datos!#REF!,"AAAAAH/0uww=")</f>
        <v>#REF!</v>
      </c>
      <c r="N4" s="123" t="e">
        <f>AND(Datos!#REF!,"AAAAAH/0uw0=")</f>
        <v>#REF!</v>
      </c>
      <c r="O4" s="123" t="e">
        <f>AND(Datos!N36,"AAAAAH/0uw4=")</f>
        <v>#VALUE!</v>
      </c>
      <c r="P4" s="123" t="e">
        <f>AND(Datos!O36,"AAAAAH/0uw8=")</f>
        <v>#VALUE!</v>
      </c>
      <c r="Q4" s="123" t="e">
        <f>AND(Datos!P36,"AAAAAH/0uxA=")</f>
        <v>#VALUE!</v>
      </c>
      <c r="R4" s="123" t="e">
        <f>AND(Datos!Q36,"AAAAAH/0uxE=")</f>
        <v>#VALUE!</v>
      </c>
      <c r="S4" s="123" t="e">
        <f>AND(Datos!R36,"AAAAAH/0uxI=")</f>
        <v>#VALUE!</v>
      </c>
      <c r="T4" s="123" t="e">
        <f>AND(Datos!S36,"AAAAAH/0uxM=")</f>
        <v>#VALUE!</v>
      </c>
      <c r="U4" s="123" t="e">
        <f>AND(Datos!T36,"AAAAAH/0uxQ=")</f>
        <v>#VALUE!</v>
      </c>
      <c r="V4" s="123" t="e">
        <f>AND(Datos!U36,"AAAAAH/0uxU=")</f>
        <v>#VALUE!</v>
      </c>
      <c r="W4" s="123" t="e">
        <f>AND(Datos!V36,"AAAAAH/0uxY=")</f>
        <v>#VALUE!</v>
      </c>
      <c r="X4" s="123" t="e">
        <f>AND(Datos!W36,"AAAAAH/0uxc=")</f>
        <v>#VALUE!</v>
      </c>
      <c r="Y4" s="123">
        <f>IF(Datos!37:37,"AAAAAH/0uxg=",0)</f>
        <v>0</v>
      </c>
      <c r="Z4" s="123" t="e">
        <f>AND(Datos!A37,"AAAAAH/0uxk=")</f>
        <v>#VALUE!</v>
      </c>
      <c r="AA4" s="123" t="e">
        <f>AND(Datos!B37,"AAAAAH/0uxo=")</f>
        <v>#VALUE!</v>
      </c>
      <c r="AB4" s="123" t="e">
        <f>AND(Datos!G37,"AAAAAH/0uxs=")</f>
        <v>#VALUE!</v>
      </c>
      <c r="AC4" s="123" t="e">
        <f>AND(Datos!H37,"AAAAAH/0uxw=")</f>
        <v>#VALUE!</v>
      </c>
      <c r="AD4" s="123" t="e">
        <f>AND(Datos!I37,"AAAAAH/0ux0=")</f>
        <v>#VALUE!</v>
      </c>
      <c r="AE4" s="123" t="e">
        <f>AND(Datos!J37,"AAAAAH/0ux4=")</f>
        <v>#VALUE!</v>
      </c>
      <c r="AF4" s="123" t="e">
        <f>AND(Datos!#REF!,"AAAAAH/0ux8=")</f>
        <v>#REF!</v>
      </c>
      <c r="AG4" s="123" t="e">
        <f>AND(Datos!K37,"AAAAAH/0uyA=")</f>
        <v>#VALUE!</v>
      </c>
      <c r="AH4" s="123" t="e">
        <f>AND(Datos!L37,"AAAAAH/0uyE=")</f>
        <v>#VALUE!</v>
      </c>
      <c r="AI4" s="123" t="e">
        <f>AND(Datos!#REF!,"AAAAAH/0uyI=")</f>
        <v>#REF!</v>
      </c>
      <c r="AJ4" s="123" t="e">
        <f>AND(Datos!#REF!,"AAAAAH/0uyM=")</f>
        <v>#REF!</v>
      </c>
      <c r="AK4" s="123" t="e">
        <f>AND(Datos!#REF!,"AAAAAH/0uyQ=")</f>
        <v>#REF!</v>
      </c>
      <c r="AL4" s="123" t="e">
        <f>AND(Datos!#REF!,"AAAAAH/0uyU=")</f>
        <v>#REF!</v>
      </c>
      <c r="AM4" s="123" t="e">
        <f>AND(Datos!N37,"AAAAAH/0uyY=")</f>
        <v>#VALUE!</v>
      </c>
      <c r="AN4" s="123" t="e">
        <f>AND(Datos!O37,"AAAAAH/0uyc=")</f>
        <v>#VALUE!</v>
      </c>
      <c r="AO4" s="123" t="e">
        <f>AND(Datos!P37,"AAAAAH/0uyg=")</f>
        <v>#VALUE!</v>
      </c>
      <c r="AP4" s="123" t="e">
        <f>AND(Datos!Q37,"AAAAAH/0uyk=")</f>
        <v>#VALUE!</v>
      </c>
      <c r="AQ4" s="123" t="e">
        <f>AND(Datos!R37,"AAAAAH/0uyo=")</f>
        <v>#VALUE!</v>
      </c>
      <c r="AR4" s="123" t="e">
        <f>AND(Datos!S37,"AAAAAH/0uys=")</f>
        <v>#VALUE!</v>
      </c>
      <c r="AS4" s="123" t="e">
        <f>AND(Datos!T37,"AAAAAH/0uyw=")</f>
        <v>#VALUE!</v>
      </c>
      <c r="AT4" s="123" t="e">
        <f>AND(Datos!U37,"AAAAAH/0uy0=")</f>
        <v>#VALUE!</v>
      </c>
      <c r="AU4" s="123" t="e">
        <f>AND(Datos!V37,"AAAAAH/0uy4=")</f>
        <v>#VALUE!</v>
      </c>
      <c r="AV4" s="123" t="e">
        <f>AND(Datos!W37,"AAAAAH/0uy8=")</f>
        <v>#VALUE!</v>
      </c>
      <c r="AW4" s="123">
        <f>IF(Datos!38:38,"AAAAAH/0uzA=",0)</f>
        <v>0</v>
      </c>
      <c r="AX4" s="123" t="e">
        <f>AND(Datos!A38,"AAAAAH/0uzE=")</f>
        <v>#VALUE!</v>
      </c>
      <c r="AY4" s="123" t="e">
        <f>AND(Datos!B38,"AAAAAH/0uzI=")</f>
        <v>#VALUE!</v>
      </c>
      <c r="AZ4" s="123" t="e">
        <f>AND(Datos!G38,"AAAAAH/0uzM=")</f>
        <v>#VALUE!</v>
      </c>
      <c r="BA4" s="123" t="e">
        <f>AND(Datos!H38,"AAAAAH/0uzQ=")</f>
        <v>#VALUE!</v>
      </c>
      <c r="BB4" s="123" t="e">
        <f>AND(Datos!I38,"AAAAAH/0uzU=")</f>
        <v>#VALUE!</v>
      </c>
      <c r="BC4" s="123" t="e">
        <f>AND(Datos!J38,"AAAAAH/0uzY=")</f>
        <v>#VALUE!</v>
      </c>
      <c r="BD4" s="123" t="e">
        <f>AND(Datos!#REF!,"AAAAAH/0uzc=")</f>
        <v>#REF!</v>
      </c>
      <c r="BE4" s="123" t="e">
        <f>AND(Datos!K38,"AAAAAH/0uzg=")</f>
        <v>#VALUE!</v>
      </c>
      <c r="BF4" s="123" t="e">
        <f>AND(Datos!L38,"AAAAAH/0uzk=")</f>
        <v>#VALUE!</v>
      </c>
      <c r="BG4" s="123" t="e">
        <f>AND(Datos!#REF!,"AAAAAH/0uzo=")</f>
        <v>#REF!</v>
      </c>
      <c r="BH4" s="123" t="e">
        <f>AND(Datos!#REF!,"AAAAAH/0uzs=")</f>
        <v>#REF!</v>
      </c>
      <c r="BI4" s="123" t="e">
        <f>AND(Datos!#REF!,"AAAAAH/0uzw=")</f>
        <v>#REF!</v>
      </c>
      <c r="BJ4" s="123" t="e">
        <f>AND(Datos!#REF!,"AAAAAH/0uz0=")</f>
        <v>#REF!</v>
      </c>
      <c r="BK4" s="123" t="e">
        <f>AND(Datos!N38,"AAAAAH/0uz4=")</f>
        <v>#VALUE!</v>
      </c>
      <c r="BL4" s="123" t="e">
        <f>AND(Datos!O38,"AAAAAH/0uz8=")</f>
        <v>#VALUE!</v>
      </c>
      <c r="BM4" s="123" t="e">
        <f>AND(Datos!P38,"AAAAAH/0u0A=")</f>
        <v>#VALUE!</v>
      </c>
      <c r="BN4" s="123" t="e">
        <f>AND(Datos!Q38,"AAAAAH/0u0E=")</f>
        <v>#VALUE!</v>
      </c>
      <c r="BO4" s="123" t="e">
        <f>AND(Datos!R38,"AAAAAH/0u0I=")</f>
        <v>#VALUE!</v>
      </c>
      <c r="BP4" s="123" t="e">
        <f>AND(Datos!S38,"AAAAAH/0u0M=")</f>
        <v>#VALUE!</v>
      </c>
      <c r="BQ4" s="123" t="e">
        <f>AND(Datos!T38,"AAAAAH/0u0Q=")</f>
        <v>#VALUE!</v>
      </c>
      <c r="BR4" s="123" t="e">
        <f>AND(Datos!U38,"AAAAAH/0u0U=")</f>
        <v>#VALUE!</v>
      </c>
      <c r="BS4" s="123" t="e">
        <f>AND(Datos!V38,"AAAAAH/0u0Y=")</f>
        <v>#VALUE!</v>
      </c>
      <c r="BT4" s="123" t="e">
        <f>AND(Datos!W38,"AAAAAH/0u0c=")</f>
        <v>#VALUE!</v>
      </c>
      <c r="BU4" s="123">
        <f>IF(Datos!39:39,"AAAAAH/0u0g=",0)</f>
        <v>0</v>
      </c>
      <c r="BV4" s="123" t="e">
        <f>AND(Datos!A39,"AAAAAH/0u0k=")</f>
        <v>#VALUE!</v>
      </c>
      <c r="BW4" s="123" t="e">
        <f>AND(Datos!B39,"AAAAAH/0u0o=")</f>
        <v>#VALUE!</v>
      </c>
      <c r="BX4" s="123" t="e">
        <f>AND(Datos!G39,"AAAAAH/0u0s=")</f>
        <v>#VALUE!</v>
      </c>
      <c r="BY4" s="123" t="e">
        <f>AND(Datos!H39,"AAAAAH/0u0w=")</f>
        <v>#VALUE!</v>
      </c>
      <c r="BZ4" s="123" t="e">
        <f>AND(Datos!I39,"AAAAAH/0u00=")</f>
        <v>#VALUE!</v>
      </c>
      <c r="CA4" s="123" t="e">
        <f>AND(Datos!J39,"AAAAAH/0u04=")</f>
        <v>#VALUE!</v>
      </c>
      <c r="CB4" s="123" t="e">
        <f>AND(Datos!#REF!,"AAAAAH/0u08=")</f>
        <v>#REF!</v>
      </c>
      <c r="CC4" s="123" t="e">
        <f>AND(Datos!K39,"AAAAAH/0u1A=")</f>
        <v>#VALUE!</v>
      </c>
      <c r="CD4" s="123" t="e">
        <f>AND(Datos!L39,"AAAAAH/0u1E=")</f>
        <v>#VALUE!</v>
      </c>
      <c r="CE4" s="123" t="e">
        <f>AND(Datos!#REF!,"AAAAAH/0u1I=")</f>
        <v>#REF!</v>
      </c>
      <c r="CF4" s="123" t="e">
        <f>AND(Datos!#REF!,"AAAAAH/0u1M=")</f>
        <v>#REF!</v>
      </c>
      <c r="CG4" s="123" t="e">
        <f>AND(Datos!#REF!,"AAAAAH/0u1Q=")</f>
        <v>#REF!</v>
      </c>
      <c r="CH4" s="123" t="e">
        <f>AND(Datos!#REF!,"AAAAAH/0u1U=")</f>
        <v>#REF!</v>
      </c>
      <c r="CI4" s="123" t="e">
        <f>AND(Datos!N39,"AAAAAH/0u1Y=")</f>
        <v>#VALUE!</v>
      </c>
      <c r="CJ4" s="123" t="e">
        <f>AND(Datos!O39,"AAAAAH/0u1c=")</f>
        <v>#VALUE!</v>
      </c>
      <c r="CK4" s="123" t="e">
        <f>AND(Datos!P39,"AAAAAH/0u1g=")</f>
        <v>#VALUE!</v>
      </c>
      <c r="CL4" s="123" t="e">
        <f>AND(Datos!Q39,"AAAAAH/0u1k=")</f>
        <v>#VALUE!</v>
      </c>
      <c r="CM4" s="123" t="e">
        <f>AND(Datos!R39,"AAAAAH/0u1o=")</f>
        <v>#VALUE!</v>
      </c>
      <c r="CN4" s="123" t="e">
        <f>AND(Datos!S39,"AAAAAH/0u1s=")</f>
        <v>#VALUE!</v>
      </c>
      <c r="CO4" s="123" t="e">
        <f>AND(Datos!T39,"AAAAAH/0u1w=")</f>
        <v>#VALUE!</v>
      </c>
      <c r="CP4" s="123" t="e">
        <f>AND(Datos!U39,"AAAAAH/0u10=")</f>
        <v>#VALUE!</v>
      </c>
      <c r="CQ4" s="123" t="e">
        <f>AND(Datos!V39,"AAAAAH/0u14=")</f>
        <v>#VALUE!</v>
      </c>
      <c r="CR4" s="123" t="e">
        <f>AND(Datos!W39,"AAAAAH/0u18=")</f>
        <v>#VALUE!</v>
      </c>
      <c r="CS4" s="123">
        <f>IF(Datos!40:40,"AAAAAH/0u2A=",0)</f>
        <v>0</v>
      </c>
      <c r="CT4" s="123" t="e">
        <f>AND(Datos!A40,"AAAAAH/0u2E=")</f>
        <v>#VALUE!</v>
      </c>
      <c r="CU4" s="123" t="e">
        <f>AND(Datos!B40,"AAAAAH/0u2I=")</f>
        <v>#VALUE!</v>
      </c>
      <c r="CV4" s="123" t="e">
        <f>AND(Datos!G40,"AAAAAH/0u2M=")</f>
        <v>#VALUE!</v>
      </c>
      <c r="CW4" s="123" t="e">
        <f>AND(Datos!H40,"AAAAAH/0u2Q=")</f>
        <v>#VALUE!</v>
      </c>
      <c r="CX4" s="123" t="e">
        <f>AND(Datos!I40,"AAAAAH/0u2U=")</f>
        <v>#VALUE!</v>
      </c>
      <c r="CY4" s="123" t="e">
        <f>AND(Datos!J40,"AAAAAH/0u2Y=")</f>
        <v>#VALUE!</v>
      </c>
      <c r="CZ4" s="123" t="e">
        <f>AND(Datos!#REF!,"AAAAAH/0u2c=")</f>
        <v>#REF!</v>
      </c>
      <c r="DA4" s="123" t="e">
        <f>AND(Datos!K40,"AAAAAH/0u2g=")</f>
        <v>#VALUE!</v>
      </c>
      <c r="DB4" s="123" t="e">
        <f>AND(Datos!L40,"AAAAAH/0u2k=")</f>
        <v>#VALUE!</v>
      </c>
      <c r="DC4" s="123" t="e">
        <f>AND(Datos!#REF!,"AAAAAH/0u2o=")</f>
        <v>#REF!</v>
      </c>
      <c r="DD4" s="123" t="e">
        <f>AND(Datos!#REF!,"AAAAAH/0u2s=")</f>
        <v>#REF!</v>
      </c>
      <c r="DE4" s="123" t="e">
        <f>AND(Datos!#REF!,"AAAAAH/0u2w=")</f>
        <v>#REF!</v>
      </c>
      <c r="DF4" s="123" t="e">
        <f>AND(Datos!#REF!,"AAAAAH/0u20=")</f>
        <v>#REF!</v>
      </c>
      <c r="DG4" s="123" t="e">
        <f>AND(Datos!N40,"AAAAAH/0u24=")</f>
        <v>#VALUE!</v>
      </c>
      <c r="DH4" s="123" t="e">
        <f>AND(Datos!O40,"AAAAAH/0u28=")</f>
        <v>#VALUE!</v>
      </c>
      <c r="DI4" s="123" t="e">
        <f>AND(Datos!P40,"AAAAAH/0u3A=")</f>
        <v>#VALUE!</v>
      </c>
      <c r="DJ4" s="123" t="e">
        <f>AND(Datos!Q40,"AAAAAH/0u3E=")</f>
        <v>#VALUE!</v>
      </c>
      <c r="DK4" s="123" t="e">
        <f>AND(Datos!R40,"AAAAAH/0u3I=")</f>
        <v>#VALUE!</v>
      </c>
      <c r="DL4" s="123" t="e">
        <f>AND(Datos!S40,"AAAAAH/0u3M=")</f>
        <v>#VALUE!</v>
      </c>
      <c r="DM4" s="123" t="e">
        <f>AND(Datos!T40,"AAAAAH/0u3Q=")</f>
        <v>#VALUE!</v>
      </c>
      <c r="DN4" s="123" t="e">
        <f>AND(Datos!U40,"AAAAAH/0u3U=")</f>
        <v>#VALUE!</v>
      </c>
      <c r="DO4" s="123" t="e">
        <f>AND(Datos!V40,"AAAAAH/0u3Y=")</f>
        <v>#VALUE!</v>
      </c>
      <c r="DP4" s="123" t="e">
        <f>AND(Datos!W40,"AAAAAH/0u3c=")</f>
        <v>#VALUE!</v>
      </c>
      <c r="DQ4" s="123">
        <f>IF(Datos!42:42,"AAAAAH/0u3g=",0)</f>
        <v>0</v>
      </c>
      <c r="DR4" s="123" t="e">
        <f>AND(Datos!A42,"AAAAAH/0u3k=")</f>
        <v>#VALUE!</v>
      </c>
      <c r="DS4" s="123" t="e">
        <f>AND(Datos!B42,"AAAAAH/0u3o=")</f>
        <v>#VALUE!</v>
      </c>
      <c r="DT4" s="123" t="e">
        <f>AND(Datos!C42,"AAAAAH/0u3s=")</f>
        <v>#VALUE!</v>
      </c>
      <c r="DU4" s="123" t="e">
        <f>AND(Datos!D42,"AAAAAH/0u3w=")</f>
        <v>#VALUE!</v>
      </c>
      <c r="DV4" s="123" t="e">
        <f>AND(Datos!E42,"AAAAAH/0u30=")</f>
        <v>#VALUE!</v>
      </c>
      <c r="DW4" s="123" t="e">
        <f>AND(Datos!F42,"AAAAAH/0u34=")</f>
        <v>#VALUE!</v>
      </c>
      <c r="DX4" s="123" t="e">
        <f>AND(Datos!G42,"AAAAAH/0u38=")</f>
        <v>#VALUE!</v>
      </c>
      <c r="DY4" s="123" t="e">
        <f>AND(Datos!H42,"AAAAAH/0u4A=")</f>
        <v>#VALUE!</v>
      </c>
      <c r="DZ4" s="123" t="e">
        <f>AND(Datos!I42,"AAAAAH/0u4E=")</f>
        <v>#VALUE!</v>
      </c>
      <c r="EA4" s="123" t="e">
        <f>AND(Datos!J42,"AAAAAH/0u4I=")</f>
        <v>#VALUE!</v>
      </c>
      <c r="EB4" s="123" t="e">
        <f>AND(Datos!K42,"AAAAAH/0u4M=")</f>
        <v>#VALUE!</v>
      </c>
      <c r="EC4" s="123" t="e">
        <f>AND(Datos!L42,"AAAAAH/0u4Q=")</f>
        <v>#VALUE!</v>
      </c>
      <c r="ED4" s="123" t="e">
        <f>AND(Datos!M42,"AAAAAH/0u4U=")</f>
        <v>#VALUE!</v>
      </c>
      <c r="EE4" s="123" t="e">
        <f>AND(Datos!N42,"AAAAAH/0u4Y=")</f>
        <v>#VALUE!</v>
      </c>
      <c r="EF4" s="123" t="e">
        <f>AND(Datos!O42,"AAAAAH/0u4c=")</f>
        <v>#VALUE!</v>
      </c>
      <c r="EG4" s="123" t="e">
        <f>AND(Datos!P42,"AAAAAH/0u4g=")</f>
        <v>#VALUE!</v>
      </c>
      <c r="EH4" s="123" t="e">
        <f>AND(Datos!Q42,"AAAAAH/0u4k=")</f>
        <v>#VALUE!</v>
      </c>
      <c r="EI4" s="123" t="e">
        <f>AND(Datos!R42,"AAAAAH/0u4o=")</f>
        <v>#VALUE!</v>
      </c>
      <c r="EJ4" s="123" t="e">
        <f>AND(Datos!S42,"AAAAAH/0u4s=")</f>
        <v>#VALUE!</v>
      </c>
      <c r="EK4" s="123" t="e">
        <f>AND(Datos!T42,"AAAAAH/0u4w=")</f>
        <v>#VALUE!</v>
      </c>
      <c r="EL4" s="123" t="e">
        <f>AND(Datos!U42,"AAAAAH/0u40=")</f>
        <v>#VALUE!</v>
      </c>
      <c r="EM4" s="123" t="e">
        <f>AND(Datos!V42,"AAAAAH/0u44=")</f>
        <v>#VALUE!</v>
      </c>
      <c r="EN4" s="123" t="e">
        <f>AND(Datos!W42,"AAAAAH/0u48=")</f>
        <v>#VALUE!</v>
      </c>
      <c r="EO4" s="123">
        <f>IF(Datos!43:43,"AAAAAH/0u5A=",0)</f>
        <v>0</v>
      </c>
      <c r="EP4" s="123" t="e">
        <f>AND(Datos!A43,"AAAAAH/0u5E=")</f>
        <v>#VALUE!</v>
      </c>
      <c r="EQ4" s="123" t="e">
        <f>AND(Datos!B43,"AAAAAH/0u5I=")</f>
        <v>#VALUE!</v>
      </c>
      <c r="ER4" s="123" t="e">
        <f>AND(Datos!C43,"AAAAAH/0u5M=")</f>
        <v>#VALUE!</v>
      </c>
      <c r="ES4" s="123" t="e">
        <f>AND(Datos!D43,"AAAAAH/0u5Q=")</f>
        <v>#VALUE!</v>
      </c>
      <c r="ET4" s="123" t="e">
        <f>AND(Datos!E43,"AAAAAH/0u5U=")</f>
        <v>#VALUE!</v>
      </c>
      <c r="EU4" s="123" t="e">
        <f>AND(Datos!F43,"AAAAAH/0u5Y=")</f>
        <v>#VALUE!</v>
      </c>
      <c r="EV4" s="123" t="e">
        <f>AND(Datos!G43,"AAAAAH/0u5c=")</f>
        <v>#VALUE!</v>
      </c>
      <c r="EW4" s="123" t="e">
        <f>AND(Datos!H43,"AAAAAH/0u5g=")</f>
        <v>#VALUE!</v>
      </c>
      <c r="EX4" s="123" t="e">
        <f>AND(Datos!I43,"AAAAAH/0u5k=")</f>
        <v>#VALUE!</v>
      </c>
      <c r="EY4" s="123" t="e">
        <f>AND(Datos!J43,"AAAAAH/0u5o=")</f>
        <v>#VALUE!</v>
      </c>
      <c r="EZ4" s="123" t="e">
        <f>AND(Datos!K43,"AAAAAH/0u5s=")</f>
        <v>#VALUE!</v>
      </c>
      <c r="FA4" s="123" t="e">
        <f>AND(Datos!L43,"AAAAAH/0u5w=")</f>
        <v>#VALUE!</v>
      </c>
      <c r="FB4" s="123" t="e">
        <f>AND(Datos!M43,"AAAAAH/0u50=")</f>
        <v>#VALUE!</v>
      </c>
      <c r="FC4" s="123" t="e">
        <f>AND(Datos!N43,"AAAAAH/0u54=")</f>
        <v>#VALUE!</v>
      </c>
      <c r="FD4" s="123" t="e">
        <f>AND(Datos!O43,"AAAAAH/0u58=")</f>
        <v>#VALUE!</v>
      </c>
      <c r="FE4" s="123" t="e">
        <f>AND(Datos!P43,"AAAAAH/0u6A=")</f>
        <v>#VALUE!</v>
      </c>
      <c r="FF4" s="123" t="e">
        <f>AND(Datos!Q43,"AAAAAH/0u6E=")</f>
        <v>#VALUE!</v>
      </c>
      <c r="FG4" s="123" t="e">
        <f>AND(Datos!R43,"AAAAAH/0u6I=")</f>
        <v>#VALUE!</v>
      </c>
      <c r="FH4" s="123" t="e">
        <f>AND(Datos!S43,"AAAAAH/0u6M=")</f>
        <v>#VALUE!</v>
      </c>
      <c r="FI4" s="123" t="e">
        <f>AND(Datos!T43,"AAAAAH/0u6Q=")</f>
        <v>#VALUE!</v>
      </c>
      <c r="FJ4" s="123" t="e">
        <f>AND(Datos!U43,"AAAAAH/0u6U=")</f>
        <v>#VALUE!</v>
      </c>
      <c r="FK4" s="123" t="e">
        <f>AND(Datos!V43,"AAAAAH/0u6Y=")</f>
        <v>#VALUE!</v>
      </c>
      <c r="FL4" s="123" t="e">
        <f>AND(Datos!W43,"AAAAAH/0u6c=")</f>
        <v>#VALUE!</v>
      </c>
      <c r="FM4" s="123">
        <f>IF(Datos!44:44,"AAAAAH/0u6g=",0)</f>
        <v>0</v>
      </c>
      <c r="FN4" s="123" t="e">
        <f>AND(Datos!A44,"AAAAAH/0u6k=")</f>
        <v>#VALUE!</v>
      </c>
      <c r="FO4" s="123" t="e">
        <f>AND(Datos!B44,"AAAAAH/0u6o=")</f>
        <v>#VALUE!</v>
      </c>
      <c r="FP4" s="123" t="e">
        <f>AND(Datos!C44,"AAAAAH/0u6s=")</f>
        <v>#VALUE!</v>
      </c>
      <c r="FQ4" s="123" t="e">
        <f>AND(Datos!D44,"AAAAAH/0u6w=")</f>
        <v>#VALUE!</v>
      </c>
      <c r="FR4" s="123" t="e">
        <f>AND(Datos!E44,"AAAAAH/0u60=")</f>
        <v>#VALUE!</v>
      </c>
      <c r="FS4" s="123" t="e">
        <f>AND(Datos!F44,"AAAAAH/0u64=")</f>
        <v>#VALUE!</v>
      </c>
      <c r="FT4" s="123" t="e">
        <f>AND(Datos!G44,"AAAAAH/0u68=")</f>
        <v>#VALUE!</v>
      </c>
      <c r="FU4" s="123" t="e">
        <f>AND(Datos!H44,"AAAAAH/0u7A=")</f>
        <v>#VALUE!</v>
      </c>
      <c r="FV4" s="123" t="e">
        <f>AND(Datos!I44,"AAAAAH/0u7E=")</f>
        <v>#VALUE!</v>
      </c>
      <c r="FW4" s="123" t="e">
        <f>AND(Datos!J44,"AAAAAH/0u7I=")</f>
        <v>#VALUE!</v>
      </c>
      <c r="FX4" s="123" t="e">
        <f>AND(Datos!K44,"AAAAAH/0u7M=")</f>
        <v>#VALUE!</v>
      </c>
      <c r="FY4" s="123" t="e">
        <f>AND(Datos!L44,"AAAAAH/0u7Q=")</f>
        <v>#VALUE!</v>
      </c>
      <c r="FZ4" s="123" t="e">
        <f>AND(Datos!M44,"AAAAAH/0u7U=")</f>
        <v>#VALUE!</v>
      </c>
      <c r="GA4" s="123" t="e">
        <f>AND(Datos!N44,"AAAAAH/0u7Y=")</f>
        <v>#VALUE!</v>
      </c>
      <c r="GB4" s="123" t="e">
        <f>AND(Datos!O44,"AAAAAH/0u7c=")</f>
        <v>#VALUE!</v>
      </c>
      <c r="GC4" s="123" t="e">
        <f>AND(Datos!P44,"AAAAAH/0u7g=")</f>
        <v>#VALUE!</v>
      </c>
      <c r="GD4" s="123" t="e">
        <f>AND(Datos!Q44,"AAAAAH/0u7k=")</f>
        <v>#VALUE!</v>
      </c>
      <c r="GE4" s="123" t="e">
        <f>AND(Datos!R44,"AAAAAH/0u7o=")</f>
        <v>#VALUE!</v>
      </c>
      <c r="GF4" s="123" t="e">
        <f>AND(Datos!S44,"AAAAAH/0u7s=")</f>
        <v>#VALUE!</v>
      </c>
      <c r="GG4" s="123" t="e">
        <f>AND(Datos!T44,"AAAAAH/0u7w=")</f>
        <v>#VALUE!</v>
      </c>
      <c r="GH4" s="123" t="e">
        <f>AND(Datos!U44,"AAAAAH/0u70=")</f>
        <v>#VALUE!</v>
      </c>
      <c r="GI4" s="123" t="e">
        <f>AND(Datos!V44,"AAAAAH/0u74=")</f>
        <v>#VALUE!</v>
      </c>
      <c r="GJ4" s="123" t="e">
        <f>AND(Datos!W44,"AAAAAH/0u78=")</f>
        <v>#VALUE!</v>
      </c>
      <c r="GK4" s="123">
        <f>IF(Datos!45:45,"AAAAAH/0u8A=",0)</f>
        <v>0</v>
      </c>
      <c r="GL4" s="123" t="e">
        <f>AND(Datos!A45,"AAAAAH/0u8E=")</f>
        <v>#VALUE!</v>
      </c>
      <c r="GM4" s="123" t="e">
        <f>AND(Datos!B45,"AAAAAH/0u8I=")</f>
        <v>#VALUE!</v>
      </c>
      <c r="GN4" s="123" t="e">
        <f>AND(Datos!C45,"AAAAAH/0u8M=")</f>
        <v>#VALUE!</v>
      </c>
      <c r="GO4" s="123" t="e">
        <f>AND(Datos!D45,"AAAAAH/0u8Q=")</f>
        <v>#VALUE!</v>
      </c>
      <c r="GP4" s="123" t="e">
        <f>AND(Datos!E45,"AAAAAH/0u8U=")</f>
        <v>#VALUE!</v>
      </c>
      <c r="GQ4" s="123" t="e">
        <f>AND(Datos!F45,"AAAAAH/0u8Y=")</f>
        <v>#VALUE!</v>
      </c>
      <c r="GR4" s="123" t="e">
        <f>AND(Datos!G45,"AAAAAH/0u8c=")</f>
        <v>#VALUE!</v>
      </c>
      <c r="GS4" s="123" t="e">
        <f>AND(Datos!H45,"AAAAAH/0u8g=")</f>
        <v>#VALUE!</v>
      </c>
      <c r="GT4" s="123" t="e">
        <f>AND(Datos!I45,"AAAAAH/0u8k=")</f>
        <v>#VALUE!</v>
      </c>
      <c r="GU4" s="123" t="e">
        <f>AND(Datos!J45,"AAAAAH/0u8o=")</f>
        <v>#VALUE!</v>
      </c>
      <c r="GV4" s="123" t="e">
        <f>AND(Datos!K45,"AAAAAH/0u8s=")</f>
        <v>#VALUE!</v>
      </c>
      <c r="GW4" s="123" t="e">
        <f>AND(Datos!L45,"AAAAAH/0u8w=")</f>
        <v>#VALUE!</v>
      </c>
      <c r="GX4" s="123" t="e">
        <f>AND(Datos!M45,"AAAAAH/0u80=")</f>
        <v>#VALUE!</v>
      </c>
      <c r="GY4" s="123" t="e">
        <f>AND(Datos!N45,"AAAAAH/0u84=")</f>
        <v>#VALUE!</v>
      </c>
      <c r="GZ4" s="123" t="e">
        <f>AND(Datos!O45,"AAAAAH/0u88=")</f>
        <v>#VALUE!</v>
      </c>
      <c r="HA4" s="123" t="e">
        <f>AND(Datos!P45,"AAAAAH/0u9A=")</f>
        <v>#VALUE!</v>
      </c>
      <c r="HB4" s="123" t="e">
        <f>AND(Datos!Q45,"AAAAAH/0u9E=")</f>
        <v>#VALUE!</v>
      </c>
      <c r="HC4" s="123" t="e">
        <f>AND(Datos!R45,"AAAAAH/0u9I=")</f>
        <v>#VALUE!</v>
      </c>
      <c r="HD4" s="123" t="e">
        <f>AND(Datos!S45,"AAAAAH/0u9M=")</f>
        <v>#VALUE!</v>
      </c>
      <c r="HE4" s="123" t="e">
        <f>AND(Datos!T45,"AAAAAH/0u9Q=")</f>
        <v>#VALUE!</v>
      </c>
      <c r="HF4" s="123" t="e">
        <f>AND(Datos!U45,"AAAAAH/0u9U=")</f>
        <v>#VALUE!</v>
      </c>
      <c r="HG4" s="123" t="e">
        <f>AND(Datos!V45,"AAAAAH/0u9Y=")</f>
        <v>#VALUE!</v>
      </c>
      <c r="HH4" s="123" t="e">
        <f>AND(Datos!W45,"AAAAAH/0u9c=")</f>
        <v>#VALUE!</v>
      </c>
      <c r="HI4" s="123">
        <f>IF(Datos!46:46,"AAAAAH/0u9g=",0)</f>
        <v>0</v>
      </c>
      <c r="HJ4" s="123" t="e">
        <f>AND(Datos!A46,"AAAAAH/0u9k=")</f>
        <v>#VALUE!</v>
      </c>
      <c r="HK4" s="123" t="e">
        <f>AND(Datos!B46,"AAAAAH/0u9o=")</f>
        <v>#VALUE!</v>
      </c>
      <c r="HL4" s="123" t="e">
        <f>AND(Datos!G46,"AAAAAH/0u9s=")</f>
        <v>#VALUE!</v>
      </c>
      <c r="HM4" s="123" t="e">
        <f>AND(Datos!H46,"AAAAAH/0u9w=")</f>
        <v>#VALUE!</v>
      </c>
      <c r="HN4" s="123" t="e">
        <f>AND(Datos!I46,"AAAAAH/0u90=")</f>
        <v>#VALUE!</v>
      </c>
      <c r="HO4" s="123" t="e">
        <f>AND(Datos!J46,"AAAAAH/0u94=")</f>
        <v>#VALUE!</v>
      </c>
      <c r="HP4" s="123" t="e">
        <f>AND(Datos!#REF!,"AAAAAH/0u98=")</f>
        <v>#REF!</v>
      </c>
      <c r="HQ4" s="123" t="e">
        <f>AND(Datos!K46,"AAAAAH/0u+A=")</f>
        <v>#VALUE!</v>
      </c>
      <c r="HR4" s="123" t="e">
        <f>AND(Datos!L46,"AAAAAH/0u+E=")</f>
        <v>#VALUE!</v>
      </c>
      <c r="HS4" s="123" t="e">
        <f>AND(Datos!#REF!,"AAAAAH/0u+I=")</f>
        <v>#REF!</v>
      </c>
      <c r="HT4" s="123" t="e">
        <f>AND(Datos!#REF!,"AAAAAH/0u+M=")</f>
        <v>#REF!</v>
      </c>
      <c r="HU4" s="123" t="e">
        <f>AND(Datos!#REF!,"AAAAAH/0u+Q=")</f>
        <v>#REF!</v>
      </c>
      <c r="HV4" s="123" t="e">
        <f>AND(Datos!M46,"AAAAAH/0u+U=")</f>
        <v>#VALUE!</v>
      </c>
      <c r="HW4" s="123" t="e">
        <f>AND(Datos!N46,"AAAAAH/0u+Y=")</f>
        <v>#VALUE!</v>
      </c>
      <c r="HX4" s="123" t="e">
        <f>AND(Datos!O46,"AAAAAH/0u+c=")</f>
        <v>#VALUE!</v>
      </c>
      <c r="HY4" s="123" t="e">
        <f>AND(Datos!P46,"AAAAAH/0u+g=")</f>
        <v>#VALUE!</v>
      </c>
      <c r="HZ4" s="123" t="e">
        <f>AND(Datos!Q46,"AAAAAH/0u+k=")</f>
        <v>#VALUE!</v>
      </c>
      <c r="IA4" s="123" t="e">
        <f>AND(Datos!R46,"AAAAAH/0u+o=")</f>
        <v>#VALUE!</v>
      </c>
      <c r="IB4" s="123" t="e">
        <f>AND(Datos!S46,"AAAAAH/0u+s=")</f>
        <v>#VALUE!</v>
      </c>
      <c r="IC4" s="123" t="e">
        <f>AND(Datos!T46,"AAAAAH/0u+w=")</f>
        <v>#VALUE!</v>
      </c>
      <c r="ID4" s="123" t="e">
        <f>AND(Datos!U46,"AAAAAH/0u+0=")</f>
        <v>#VALUE!</v>
      </c>
      <c r="IE4" s="123" t="e">
        <f>AND(Datos!V46,"AAAAAH/0u+4=")</f>
        <v>#VALUE!</v>
      </c>
      <c r="IF4" s="123" t="e">
        <f>AND(Datos!W46,"AAAAAH/0u+8=")</f>
        <v>#VALUE!</v>
      </c>
      <c r="IG4" s="123">
        <f>IF(Datos!47:47,"AAAAAH/0u/A=",0)</f>
        <v>0</v>
      </c>
      <c r="IH4" s="123" t="e">
        <f>AND(Datos!A47,"AAAAAH/0u/E=")</f>
        <v>#VALUE!</v>
      </c>
      <c r="II4" s="123" t="e">
        <f>AND(Datos!B47,"AAAAAH/0u/I=")</f>
        <v>#VALUE!</v>
      </c>
      <c r="IJ4" s="123" t="e">
        <f>AND(Datos!G47,"AAAAAH/0u/M=")</f>
        <v>#VALUE!</v>
      </c>
      <c r="IK4" s="123" t="e">
        <f>AND(Datos!H47,"AAAAAH/0u/Q=")</f>
        <v>#VALUE!</v>
      </c>
      <c r="IL4" s="123" t="e">
        <f>AND(Datos!I47,"AAAAAH/0u/U=")</f>
        <v>#VALUE!</v>
      </c>
      <c r="IM4" s="123" t="e">
        <f>AND(Datos!J47,"AAAAAH/0u/Y=")</f>
        <v>#VALUE!</v>
      </c>
      <c r="IN4" s="123" t="e">
        <f>AND(Datos!#REF!,"AAAAAH/0u/c=")</f>
        <v>#REF!</v>
      </c>
      <c r="IO4" s="123" t="e">
        <f>AND(Datos!K47,"AAAAAH/0u/g=")</f>
        <v>#VALUE!</v>
      </c>
      <c r="IP4" s="123" t="e">
        <f>AND(Datos!L47,"AAAAAH/0u/k=")</f>
        <v>#VALUE!</v>
      </c>
      <c r="IQ4" s="123" t="e">
        <f>AND(Datos!#REF!,"AAAAAH/0u/o=")</f>
        <v>#REF!</v>
      </c>
      <c r="IR4" s="123" t="e">
        <f>AND(Datos!#REF!,"AAAAAH/0u/s=")</f>
        <v>#REF!</v>
      </c>
      <c r="IS4" s="123" t="e">
        <f>AND(Datos!#REF!,"AAAAAH/0u/w=")</f>
        <v>#REF!</v>
      </c>
      <c r="IT4" s="123" t="e">
        <f>AND(Datos!M47,"AAAAAH/0u/0=")</f>
        <v>#VALUE!</v>
      </c>
      <c r="IU4" s="123" t="e">
        <f>AND(Datos!N47,"AAAAAH/0u/4=")</f>
        <v>#VALUE!</v>
      </c>
      <c r="IV4" s="123" t="e">
        <f>AND(Datos!O47,"AAAAAH/0u/8=")</f>
        <v>#VALUE!</v>
      </c>
    </row>
    <row r="5" spans="1:256" ht="14.4">
      <c r="A5" s="123" t="e">
        <f>AND(Datos!P47,"AAAAAHctywA=")</f>
        <v>#VALUE!</v>
      </c>
      <c r="B5" s="123" t="e">
        <f>AND(Datos!Q47,"AAAAAHctywE=")</f>
        <v>#VALUE!</v>
      </c>
      <c r="C5" s="123" t="e">
        <f>AND(Datos!R47,"AAAAAHctywI=")</f>
        <v>#VALUE!</v>
      </c>
      <c r="D5" s="123" t="e">
        <f>AND(Datos!S47,"AAAAAHctywM=")</f>
        <v>#VALUE!</v>
      </c>
      <c r="E5" s="123" t="e">
        <f>AND(Datos!T47,"AAAAAHctywQ=")</f>
        <v>#VALUE!</v>
      </c>
      <c r="F5" s="123" t="e">
        <f>AND(Datos!U47,"AAAAAHctywU=")</f>
        <v>#VALUE!</v>
      </c>
      <c r="G5" s="123" t="e">
        <f>AND(Datos!V47,"AAAAAHctywY=")</f>
        <v>#VALUE!</v>
      </c>
      <c r="H5" s="123" t="e">
        <f>AND(Datos!W47,"AAAAAHctywc=")</f>
        <v>#VALUE!</v>
      </c>
      <c r="I5" s="123" t="e">
        <f>IF(Datos!53:53,"AAAAAHctywg=",0)</f>
        <v>#VALUE!</v>
      </c>
      <c r="J5" s="123" t="e">
        <f>AND(Datos!A53,"AAAAAHctywk=")</f>
        <v>#VALUE!</v>
      </c>
      <c r="K5" s="123" t="e">
        <f>AND(Datos!B53,"AAAAAHctywo=")</f>
        <v>#VALUE!</v>
      </c>
      <c r="L5" s="123" t="e">
        <f>AND(Datos!G53,"AAAAAHctyws=")</f>
        <v>#VALUE!</v>
      </c>
      <c r="M5" s="123" t="e">
        <f>AND(Datos!H53,"AAAAAHctyww=")</f>
        <v>#VALUE!</v>
      </c>
      <c r="N5" s="123" t="e">
        <f>AND(Datos!I53,"AAAAAHctyw0=")</f>
        <v>#VALUE!</v>
      </c>
      <c r="O5" s="123" t="e">
        <f>AND(Datos!J53,"AAAAAHctyw4=")</f>
        <v>#VALUE!</v>
      </c>
      <c r="P5" s="123" t="e">
        <f>AND(Datos!#REF!,"AAAAAHctyw8=")</f>
        <v>#REF!</v>
      </c>
      <c r="Q5" s="123" t="e">
        <f>AND(Datos!K53,"AAAAAHctyxA=")</f>
        <v>#VALUE!</v>
      </c>
      <c r="R5" s="123" t="e">
        <f>AND(Datos!L53,"AAAAAHctyxE=")</f>
        <v>#VALUE!</v>
      </c>
      <c r="S5" s="123" t="e">
        <f>AND(Datos!#REF!,"AAAAAHctyxI=")</f>
        <v>#REF!</v>
      </c>
      <c r="T5" s="123" t="e">
        <f>AND(Datos!#REF!,"AAAAAHctyxM=")</f>
        <v>#REF!</v>
      </c>
      <c r="U5" s="123" t="e">
        <f>AND(Datos!#REF!,"AAAAAHctyxQ=")</f>
        <v>#REF!</v>
      </c>
      <c r="V5" s="123" t="e">
        <f>AND(Datos!M53,"AAAAAHctyxU=")</f>
        <v>#VALUE!</v>
      </c>
      <c r="W5" s="123" t="e">
        <f>AND(Datos!N53,"AAAAAHctyxY=")</f>
        <v>#VALUE!</v>
      </c>
      <c r="X5" s="123" t="e">
        <f>AND(Datos!O53,"AAAAAHctyxc=")</f>
        <v>#VALUE!</v>
      </c>
      <c r="Y5" s="123" t="e">
        <f>AND(Datos!P53,"AAAAAHctyxg=")</f>
        <v>#VALUE!</v>
      </c>
      <c r="Z5" s="123" t="e">
        <f>AND(Datos!Q53,"AAAAAHctyxk=")</f>
        <v>#VALUE!</v>
      </c>
      <c r="AA5" s="123" t="e">
        <f>AND(Datos!R53,"AAAAAHctyxo=")</f>
        <v>#VALUE!</v>
      </c>
      <c r="AB5" s="123" t="e">
        <f>AND(Datos!S53,"AAAAAHctyxs=")</f>
        <v>#VALUE!</v>
      </c>
      <c r="AC5" s="123" t="e">
        <f>AND(Datos!T53,"AAAAAHctyxw=")</f>
        <v>#VALUE!</v>
      </c>
      <c r="AD5" s="123" t="e">
        <f>AND(Datos!U53,"AAAAAHctyx0=")</f>
        <v>#VALUE!</v>
      </c>
      <c r="AE5" s="123" t="e">
        <f>AND(Datos!V53,"AAAAAHctyx4=")</f>
        <v>#VALUE!</v>
      </c>
      <c r="AF5" s="123" t="e">
        <f>AND(Datos!W53,"AAAAAHctyx8=")</f>
        <v>#VALUE!</v>
      </c>
      <c r="AG5" s="123">
        <f>IF(Datos!54:54,"AAAAAHctyyA=",0)</f>
        <v>0</v>
      </c>
      <c r="AH5" s="123" t="e">
        <f>AND(Datos!A54,"AAAAAHctyyE=")</f>
        <v>#VALUE!</v>
      </c>
      <c r="AI5" s="123" t="e">
        <f>AND(Datos!B54,"AAAAAHctyyI=")</f>
        <v>#VALUE!</v>
      </c>
      <c r="AJ5" s="123" t="e">
        <f>AND(Datos!G54,"AAAAAHctyyM=")</f>
        <v>#VALUE!</v>
      </c>
      <c r="AK5" s="123" t="e">
        <f>AND(Datos!H54,"AAAAAHctyyQ=")</f>
        <v>#VALUE!</v>
      </c>
      <c r="AL5" s="123" t="e">
        <f>AND(Datos!I54,"AAAAAHctyyU=")</f>
        <v>#VALUE!</v>
      </c>
      <c r="AM5" s="123" t="e">
        <f>AND(Datos!J54,"AAAAAHctyyY=")</f>
        <v>#VALUE!</v>
      </c>
      <c r="AN5" s="123" t="e">
        <f>AND(Datos!#REF!,"AAAAAHctyyc=")</f>
        <v>#REF!</v>
      </c>
      <c r="AO5" s="123" t="e">
        <f>AND(Datos!K54,"AAAAAHctyyg=")</f>
        <v>#VALUE!</v>
      </c>
      <c r="AP5" s="123" t="e">
        <f>AND(Datos!L54,"AAAAAHctyyk=")</f>
        <v>#VALUE!</v>
      </c>
      <c r="AQ5" s="123" t="e">
        <f>AND(Datos!#REF!,"AAAAAHctyyo=")</f>
        <v>#REF!</v>
      </c>
      <c r="AR5" s="123" t="e">
        <f>AND(Datos!#REF!,"AAAAAHctyys=")</f>
        <v>#REF!</v>
      </c>
      <c r="AS5" s="123" t="e">
        <f>AND(Datos!#REF!,"AAAAAHctyyw=")</f>
        <v>#REF!</v>
      </c>
      <c r="AT5" s="123" t="e">
        <f>AND(Datos!M54,"AAAAAHctyy0=")</f>
        <v>#VALUE!</v>
      </c>
      <c r="AU5" s="123" t="e">
        <f>AND(Datos!N54,"AAAAAHctyy4=")</f>
        <v>#VALUE!</v>
      </c>
      <c r="AV5" s="123" t="e">
        <f>AND(Datos!O54,"AAAAAHctyy8=")</f>
        <v>#VALUE!</v>
      </c>
      <c r="AW5" s="123" t="e">
        <f>AND(Datos!P54,"AAAAAHctyzA=")</f>
        <v>#VALUE!</v>
      </c>
      <c r="AX5" s="123" t="e">
        <f>AND(Datos!Q54,"AAAAAHctyzE=")</f>
        <v>#VALUE!</v>
      </c>
      <c r="AY5" s="123" t="e">
        <f>AND(Datos!R54,"AAAAAHctyzI=")</f>
        <v>#VALUE!</v>
      </c>
      <c r="AZ5" s="123" t="e">
        <f>AND(Datos!S54,"AAAAAHctyzM=")</f>
        <v>#VALUE!</v>
      </c>
      <c r="BA5" s="123" t="e">
        <f>AND(Datos!T54,"AAAAAHctyzQ=")</f>
        <v>#VALUE!</v>
      </c>
      <c r="BB5" s="123" t="e">
        <f>AND(Datos!U54,"AAAAAHctyzU=")</f>
        <v>#VALUE!</v>
      </c>
      <c r="BC5" s="123" t="e">
        <f>AND(Datos!V54,"AAAAAHctyzY=")</f>
        <v>#VALUE!</v>
      </c>
      <c r="BD5" s="123" t="e">
        <f>AND(Datos!W54,"AAAAAHctyzc=")</f>
        <v>#VALUE!</v>
      </c>
      <c r="BE5" s="123">
        <f>IF(Datos!56:56,"AAAAAHctyzg=",0)</f>
        <v>0</v>
      </c>
      <c r="BF5" s="123" t="e">
        <f>AND(Datos!A56,"AAAAAHctyzk=")</f>
        <v>#VALUE!</v>
      </c>
      <c r="BG5" s="123" t="e">
        <f>AND(Datos!B56,"AAAAAHctyzo=")</f>
        <v>#VALUE!</v>
      </c>
      <c r="BH5" s="123" t="e">
        <f>AND(Datos!G56,"AAAAAHctyzs=")</f>
        <v>#VALUE!</v>
      </c>
      <c r="BI5" s="123" t="e">
        <f>AND(Datos!H56,"AAAAAHctyzw=")</f>
        <v>#VALUE!</v>
      </c>
      <c r="BJ5" s="123" t="e">
        <f>AND(Datos!I56,"AAAAAHctyz0=")</f>
        <v>#VALUE!</v>
      </c>
      <c r="BK5" s="123" t="e">
        <f>AND(Datos!J56,"AAAAAHctyz4=")</f>
        <v>#VALUE!</v>
      </c>
      <c r="BL5" s="123" t="e">
        <f>AND(Datos!#REF!,"AAAAAHctyz8=")</f>
        <v>#REF!</v>
      </c>
      <c r="BM5" s="123" t="e">
        <f>AND(Datos!K56,"AAAAAHcty0A=")</f>
        <v>#VALUE!</v>
      </c>
      <c r="BN5" s="123" t="e">
        <f>AND(Datos!L56,"AAAAAHcty0E=")</f>
        <v>#VALUE!</v>
      </c>
      <c r="BO5" s="123" t="e">
        <f>AND(Datos!#REF!,"AAAAAHcty0I=")</f>
        <v>#REF!</v>
      </c>
      <c r="BP5" s="123" t="e">
        <f>AND(Datos!#REF!,"AAAAAHcty0M=")</f>
        <v>#REF!</v>
      </c>
      <c r="BQ5" s="123" t="e">
        <f>AND(Datos!#REF!,"AAAAAHcty0Q=")</f>
        <v>#REF!</v>
      </c>
      <c r="BR5" s="123" t="e">
        <f>AND(Datos!M56,"AAAAAHcty0U=")</f>
        <v>#VALUE!</v>
      </c>
      <c r="BS5" s="123" t="e">
        <f>AND(Datos!N56,"AAAAAHcty0Y=")</f>
        <v>#VALUE!</v>
      </c>
      <c r="BT5" s="123" t="e">
        <f>AND(Datos!O56,"AAAAAHcty0c=")</f>
        <v>#VALUE!</v>
      </c>
      <c r="BU5" s="123" t="e">
        <f>AND(Datos!P56,"AAAAAHcty0g=")</f>
        <v>#VALUE!</v>
      </c>
      <c r="BV5" s="123" t="e">
        <f>AND(Datos!Q56,"AAAAAHcty0k=")</f>
        <v>#VALUE!</v>
      </c>
      <c r="BW5" s="123" t="e">
        <f>AND(Datos!R56,"AAAAAHcty0o=")</f>
        <v>#VALUE!</v>
      </c>
      <c r="BX5" s="123" t="e">
        <f>AND(Datos!S56,"AAAAAHcty0s=")</f>
        <v>#VALUE!</v>
      </c>
      <c r="BY5" s="123" t="e">
        <f>AND(Datos!T56,"AAAAAHcty0w=")</f>
        <v>#VALUE!</v>
      </c>
      <c r="BZ5" s="123" t="e">
        <f>AND(Datos!U56,"AAAAAHcty00=")</f>
        <v>#VALUE!</v>
      </c>
      <c r="CA5" s="123" t="e">
        <f>AND(Datos!V56,"AAAAAHcty04=")</f>
        <v>#VALUE!</v>
      </c>
      <c r="CB5" s="123" t="e">
        <f>AND(Datos!W56,"AAAAAHcty08=")</f>
        <v>#VALUE!</v>
      </c>
      <c r="CC5" s="123">
        <f>IF(Datos!71:71,"AAAAAHcty1A=",0)</f>
        <v>0</v>
      </c>
      <c r="CD5" s="123" t="e">
        <f>AND(Datos!A71,"AAAAAHcty1E=")</f>
        <v>#VALUE!</v>
      </c>
      <c r="CE5" s="123" t="e">
        <f>AND(Datos!B71,"AAAAAHcty1I=")</f>
        <v>#VALUE!</v>
      </c>
      <c r="CF5" s="123" t="e">
        <f>AND(Datos!C71,"AAAAAHcty1M=")</f>
        <v>#VALUE!</v>
      </c>
      <c r="CG5" s="123" t="e">
        <f>AND(Datos!D71,"AAAAAHcty1Q=")</f>
        <v>#VALUE!</v>
      </c>
      <c r="CH5" s="123" t="e">
        <f>AND(Datos!E71,"AAAAAHcty1U=")</f>
        <v>#VALUE!</v>
      </c>
      <c r="CI5" s="123" t="e">
        <f>AND(Datos!F71,"AAAAAHcty1Y=")</f>
        <v>#VALUE!</v>
      </c>
      <c r="CJ5" s="123" t="e">
        <f>AND(Datos!G71,"AAAAAHcty1c=")</f>
        <v>#VALUE!</v>
      </c>
      <c r="CK5" s="123" t="e">
        <f>AND(Datos!H71,"AAAAAHcty1g=")</f>
        <v>#VALUE!</v>
      </c>
      <c r="CL5" s="123" t="e">
        <f>AND(Datos!I71,"AAAAAHcty1k=")</f>
        <v>#VALUE!</v>
      </c>
      <c r="CM5" s="123" t="e">
        <f>AND(Datos!J71,"AAAAAHcty1o=")</f>
        <v>#VALUE!</v>
      </c>
      <c r="CN5" s="123" t="e">
        <f>AND(Datos!K71,"AAAAAHcty1s=")</f>
        <v>#VALUE!</v>
      </c>
      <c r="CO5" s="123" t="e">
        <f>AND(Datos!L71,"AAAAAHcty1w=")</f>
        <v>#VALUE!</v>
      </c>
      <c r="CP5" s="123" t="e">
        <f>AND(Datos!M71,"AAAAAHcty10=")</f>
        <v>#VALUE!</v>
      </c>
      <c r="CQ5" s="123" t="e">
        <f>AND(Datos!N71,"AAAAAHcty14=")</f>
        <v>#VALUE!</v>
      </c>
      <c r="CR5" s="123" t="e">
        <f>AND(Datos!O71,"AAAAAHcty18=")</f>
        <v>#VALUE!</v>
      </c>
      <c r="CS5" s="123" t="e">
        <f>AND(Datos!P71,"AAAAAHcty2A=")</f>
        <v>#VALUE!</v>
      </c>
      <c r="CT5" s="123" t="e">
        <f>AND(Datos!Q71,"AAAAAHcty2E=")</f>
        <v>#VALUE!</v>
      </c>
      <c r="CU5" s="123" t="e">
        <f>AND(Datos!R71,"AAAAAHcty2I=")</f>
        <v>#VALUE!</v>
      </c>
      <c r="CV5" s="123" t="e">
        <f>AND(Datos!S71,"AAAAAHcty2M=")</f>
        <v>#VALUE!</v>
      </c>
      <c r="CW5" s="123" t="e">
        <f>AND(Datos!T71,"AAAAAHcty2Q=")</f>
        <v>#VALUE!</v>
      </c>
      <c r="CX5" s="123" t="e">
        <f>AND(Datos!U71,"AAAAAHcty2U=")</f>
        <v>#VALUE!</v>
      </c>
      <c r="CY5" s="123" t="e">
        <f>AND(Datos!V71,"AAAAAHcty2Y=")</f>
        <v>#VALUE!</v>
      </c>
      <c r="CZ5" s="123" t="e">
        <f>AND(Datos!W71,"AAAAAHcty2c=")</f>
        <v>#VALUE!</v>
      </c>
      <c r="DA5" s="123" t="e">
        <f>IF(Datos!#REF!,"AAAAAHcty2g=",0)</f>
        <v>#REF!</v>
      </c>
      <c r="DB5" s="123" t="e">
        <f>AND(Datos!#REF!,"AAAAAHcty2k=")</f>
        <v>#REF!</v>
      </c>
      <c r="DC5" s="123" t="e">
        <f>AND(Datos!#REF!,"AAAAAHcty2o=")</f>
        <v>#REF!</v>
      </c>
      <c r="DD5" s="123" t="e">
        <f>AND(Datos!#REF!,"AAAAAHcty2s=")</f>
        <v>#REF!</v>
      </c>
      <c r="DE5" s="123" t="e">
        <f>AND(Datos!#REF!,"AAAAAHcty2w=")</f>
        <v>#REF!</v>
      </c>
      <c r="DF5" s="123" t="e">
        <f>AND(Datos!#REF!,"AAAAAHcty20=")</f>
        <v>#REF!</v>
      </c>
      <c r="DG5" s="123" t="e">
        <f>AND(Datos!#REF!,"AAAAAHcty24=")</f>
        <v>#REF!</v>
      </c>
      <c r="DH5" s="123" t="e">
        <f>AND(Datos!#REF!,"AAAAAHcty28=")</f>
        <v>#REF!</v>
      </c>
      <c r="DI5" s="123" t="e">
        <f>AND(Datos!#REF!,"AAAAAHcty3A=")</f>
        <v>#REF!</v>
      </c>
      <c r="DJ5" s="123" t="e">
        <f>AND(Datos!#REF!,"AAAAAHcty3E=")</f>
        <v>#REF!</v>
      </c>
      <c r="DK5" s="123" t="e">
        <f>AND(Datos!#REF!,"AAAAAHcty3I=")</f>
        <v>#REF!</v>
      </c>
      <c r="DL5" s="123" t="e">
        <f>AND(Datos!#REF!,"AAAAAHcty3M=")</f>
        <v>#REF!</v>
      </c>
      <c r="DM5" s="123" t="e">
        <f>AND(Datos!#REF!,"AAAAAHcty3Q=")</f>
        <v>#REF!</v>
      </c>
      <c r="DN5" s="123" t="e">
        <f>AND(Datos!#REF!,"AAAAAHcty3U=")</f>
        <v>#REF!</v>
      </c>
      <c r="DO5" s="123" t="e">
        <f>AND(Datos!#REF!,"AAAAAHcty3Y=")</f>
        <v>#REF!</v>
      </c>
      <c r="DP5" s="123" t="e">
        <f>AND(Datos!#REF!,"AAAAAHcty3c=")</f>
        <v>#REF!</v>
      </c>
      <c r="DQ5" s="123" t="e">
        <f>AND(Datos!#REF!,"AAAAAHcty3g=")</f>
        <v>#REF!</v>
      </c>
      <c r="DR5" s="123" t="e">
        <f>AND(Datos!#REF!,"AAAAAHcty3k=")</f>
        <v>#REF!</v>
      </c>
      <c r="DS5" s="123" t="e">
        <f>AND(Datos!#REF!,"AAAAAHcty3o=")</f>
        <v>#REF!</v>
      </c>
      <c r="DT5" s="123" t="e">
        <f>AND(Datos!#REF!,"AAAAAHcty3s=")</f>
        <v>#REF!</v>
      </c>
      <c r="DU5" s="123" t="e">
        <f>AND(Datos!#REF!,"AAAAAHcty3w=")</f>
        <v>#REF!</v>
      </c>
      <c r="DV5" s="123" t="e">
        <f>AND(Datos!#REF!,"AAAAAHcty30=")</f>
        <v>#REF!</v>
      </c>
      <c r="DW5" s="123" t="e">
        <f>AND(Datos!#REF!,"AAAAAHcty34=")</f>
        <v>#REF!</v>
      </c>
      <c r="DX5" s="123" t="e">
        <f>AND(Datos!#REF!,"AAAAAHcty38=")</f>
        <v>#REF!</v>
      </c>
      <c r="DY5" s="123" t="e">
        <f>IF(Datos!#REF!,"AAAAAHcty4A=",0)</f>
        <v>#REF!</v>
      </c>
      <c r="DZ5" s="123" t="e">
        <f>AND(Datos!#REF!,"AAAAAHcty4E=")</f>
        <v>#REF!</v>
      </c>
      <c r="EA5" s="123" t="e">
        <f>AND(Datos!#REF!,"AAAAAHcty4I=")</f>
        <v>#REF!</v>
      </c>
      <c r="EB5" s="123" t="e">
        <f>AND(Datos!#REF!,"AAAAAHcty4M=")</f>
        <v>#REF!</v>
      </c>
      <c r="EC5" s="123" t="e">
        <f>AND(Datos!#REF!,"AAAAAHcty4Q=")</f>
        <v>#REF!</v>
      </c>
      <c r="ED5" s="123" t="e">
        <f>AND(Datos!#REF!,"AAAAAHcty4U=")</f>
        <v>#REF!</v>
      </c>
      <c r="EE5" s="123" t="e">
        <f>AND(Datos!#REF!,"AAAAAHcty4Y=")</f>
        <v>#REF!</v>
      </c>
      <c r="EF5" s="123" t="e">
        <f>AND(Datos!#REF!,"AAAAAHcty4c=")</f>
        <v>#REF!</v>
      </c>
      <c r="EG5" s="123" t="e">
        <f>AND(Datos!#REF!,"AAAAAHcty4g=")</f>
        <v>#REF!</v>
      </c>
      <c r="EH5" s="123" t="e">
        <f>AND(Datos!#REF!,"AAAAAHcty4k=")</f>
        <v>#REF!</v>
      </c>
      <c r="EI5" s="123" t="e">
        <f>AND(Datos!#REF!,"AAAAAHcty4o=")</f>
        <v>#REF!</v>
      </c>
      <c r="EJ5" s="123" t="e">
        <f>AND(Datos!#REF!,"AAAAAHcty4s=")</f>
        <v>#REF!</v>
      </c>
      <c r="EK5" s="123" t="e">
        <f>AND(Datos!#REF!,"AAAAAHcty4w=")</f>
        <v>#REF!</v>
      </c>
      <c r="EL5" s="123" t="e">
        <f>AND(Datos!#REF!,"AAAAAHcty40=")</f>
        <v>#REF!</v>
      </c>
      <c r="EM5" s="123" t="e">
        <f>AND(Datos!#REF!,"AAAAAHcty44=")</f>
        <v>#REF!</v>
      </c>
      <c r="EN5" s="123" t="e">
        <f>AND(Datos!#REF!,"AAAAAHcty48=")</f>
        <v>#REF!</v>
      </c>
      <c r="EO5" s="123" t="e">
        <f>AND(Datos!#REF!,"AAAAAHcty5A=")</f>
        <v>#REF!</v>
      </c>
      <c r="EP5" s="123" t="e">
        <f>AND(Datos!#REF!,"AAAAAHcty5E=")</f>
        <v>#REF!</v>
      </c>
      <c r="EQ5" s="123" t="e">
        <f>AND(Datos!#REF!,"AAAAAHcty5I=")</f>
        <v>#REF!</v>
      </c>
      <c r="ER5" s="123" t="e">
        <f>AND(Datos!#REF!,"AAAAAHcty5M=")</f>
        <v>#REF!</v>
      </c>
      <c r="ES5" s="123" t="e">
        <f>AND(Datos!#REF!,"AAAAAHcty5Q=")</f>
        <v>#REF!</v>
      </c>
      <c r="ET5" s="123" t="e">
        <f>AND(Datos!#REF!,"AAAAAHcty5U=")</f>
        <v>#REF!</v>
      </c>
      <c r="EU5" s="123" t="e">
        <f>AND(Datos!#REF!,"AAAAAHcty5Y=")</f>
        <v>#REF!</v>
      </c>
      <c r="EV5" s="123" t="e">
        <f>AND(Datos!#REF!,"AAAAAHcty5c=")</f>
        <v>#REF!</v>
      </c>
      <c r="EW5" s="123" t="e">
        <f>IF(Datos!#REF!,"AAAAAHcty5g=",0)</f>
        <v>#REF!</v>
      </c>
      <c r="EX5" s="123" t="e">
        <f>AND(Datos!#REF!,"AAAAAHcty5k=")</f>
        <v>#REF!</v>
      </c>
      <c r="EY5" s="123" t="e">
        <f>AND(Datos!#REF!,"AAAAAHcty5o=")</f>
        <v>#REF!</v>
      </c>
      <c r="EZ5" s="123" t="e">
        <f>AND(Datos!#REF!,"AAAAAHcty5s=")</f>
        <v>#REF!</v>
      </c>
      <c r="FA5" s="123" t="e">
        <f>AND(Datos!#REF!,"AAAAAHcty5w=")</f>
        <v>#REF!</v>
      </c>
      <c r="FB5" s="123" t="e">
        <f>AND(Datos!#REF!,"AAAAAHcty50=")</f>
        <v>#REF!</v>
      </c>
      <c r="FC5" s="123" t="e">
        <f>AND(Datos!#REF!,"AAAAAHcty54=")</f>
        <v>#REF!</v>
      </c>
      <c r="FD5" s="123" t="e">
        <f>AND(Datos!#REF!,"AAAAAHcty58=")</f>
        <v>#REF!</v>
      </c>
      <c r="FE5" s="123" t="e">
        <f>AND(Datos!#REF!,"AAAAAHcty6A=")</f>
        <v>#REF!</v>
      </c>
      <c r="FF5" s="123" t="e">
        <f>AND(Datos!#REF!,"AAAAAHcty6E=")</f>
        <v>#REF!</v>
      </c>
      <c r="FG5" s="123" t="e">
        <f>AND(Datos!#REF!,"AAAAAHcty6I=")</f>
        <v>#REF!</v>
      </c>
      <c r="FH5" s="123" t="e">
        <f>AND(Datos!#REF!,"AAAAAHcty6M=")</f>
        <v>#REF!</v>
      </c>
      <c r="FI5" s="123" t="e">
        <f>AND(Datos!#REF!,"AAAAAHcty6Q=")</f>
        <v>#REF!</v>
      </c>
      <c r="FJ5" s="123" t="e">
        <f>AND(Datos!#REF!,"AAAAAHcty6U=")</f>
        <v>#REF!</v>
      </c>
      <c r="FK5" s="123" t="e">
        <f>AND(Datos!#REF!,"AAAAAHcty6Y=")</f>
        <v>#REF!</v>
      </c>
      <c r="FL5" s="123" t="e">
        <f>AND(Datos!#REF!,"AAAAAHcty6c=")</f>
        <v>#REF!</v>
      </c>
      <c r="FM5" s="123" t="e">
        <f>AND(Datos!#REF!,"AAAAAHcty6g=")</f>
        <v>#REF!</v>
      </c>
      <c r="FN5" s="123" t="e">
        <f>AND(Datos!#REF!,"AAAAAHcty6k=")</f>
        <v>#REF!</v>
      </c>
      <c r="FO5" s="123" t="e">
        <f>AND(Datos!#REF!,"AAAAAHcty6o=")</f>
        <v>#REF!</v>
      </c>
      <c r="FP5" s="123" t="e">
        <f>AND(Datos!#REF!,"AAAAAHcty6s=")</f>
        <v>#REF!</v>
      </c>
      <c r="FQ5" s="123" t="e">
        <f>AND(Datos!#REF!,"AAAAAHcty6w=")</f>
        <v>#REF!</v>
      </c>
      <c r="FR5" s="123" t="e">
        <f>AND(Datos!#REF!,"AAAAAHcty60=")</f>
        <v>#REF!</v>
      </c>
      <c r="FS5" s="123" t="e">
        <f>AND(Datos!#REF!,"AAAAAHcty64=")</f>
        <v>#REF!</v>
      </c>
      <c r="FT5" s="123" t="e">
        <f>AND(Datos!#REF!,"AAAAAHcty68=")</f>
        <v>#REF!</v>
      </c>
      <c r="FU5" s="123" t="e">
        <f>IF(Datos!#REF!,"AAAAAHcty7A=",0)</f>
        <v>#REF!</v>
      </c>
      <c r="FV5" s="123" t="e">
        <f>AND(Datos!#REF!,"AAAAAHcty7E=")</f>
        <v>#REF!</v>
      </c>
      <c r="FW5" s="123" t="e">
        <f>AND(Datos!#REF!,"AAAAAHcty7I=")</f>
        <v>#REF!</v>
      </c>
      <c r="FX5" s="123" t="e">
        <f>AND(Datos!#REF!,"AAAAAHcty7M=")</f>
        <v>#REF!</v>
      </c>
      <c r="FY5" s="123" t="e">
        <f>AND(Datos!#REF!,"AAAAAHcty7Q=")</f>
        <v>#REF!</v>
      </c>
      <c r="FZ5" s="123" t="e">
        <f>AND(Datos!#REF!,"AAAAAHcty7U=")</f>
        <v>#REF!</v>
      </c>
      <c r="GA5" s="123" t="e">
        <f>AND(Datos!#REF!,"AAAAAHcty7Y=")</f>
        <v>#REF!</v>
      </c>
      <c r="GB5" s="123" t="e">
        <f>AND(Datos!#REF!,"AAAAAHcty7c=")</f>
        <v>#REF!</v>
      </c>
      <c r="GC5" s="123" t="e">
        <f>AND(Datos!#REF!,"AAAAAHcty7g=")</f>
        <v>#REF!</v>
      </c>
      <c r="GD5" s="123" t="e">
        <f>AND(Datos!#REF!,"AAAAAHcty7k=")</f>
        <v>#REF!</v>
      </c>
      <c r="GE5" s="123" t="e">
        <f>AND(Datos!#REF!,"AAAAAHcty7o=")</f>
        <v>#REF!</v>
      </c>
      <c r="GF5" s="123" t="e">
        <f>AND(Datos!#REF!,"AAAAAHcty7s=")</f>
        <v>#REF!</v>
      </c>
      <c r="GG5" s="123" t="e">
        <f>AND(Datos!#REF!,"AAAAAHcty7w=")</f>
        <v>#REF!</v>
      </c>
      <c r="GH5" s="123" t="e">
        <f>AND(Datos!#REF!,"AAAAAHcty70=")</f>
        <v>#REF!</v>
      </c>
      <c r="GI5" s="123" t="e">
        <f>AND(Datos!#REF!,"AAAAAHcty74=")</f>
        <v>#REF!</v>
      </c>
      <c r="GJ5" s="123" t="e">
        <f>AND(Datos!#REF!,"AAAAAHcty78=")</f>
        <v>#REF!</v>
      </c>
      <c r="GK5" s="123" t="e">
        <f>AND(Datos!#REF!,"AAAAAHcty8A=")</f>
        <v>#REF!</v>
      </c>
      <c r="GL5" s="123" t="e">
        <f>AND(Datos!#REF!,"AAAAAHcty8E=")</f>
        <v>#REF!</v>
      </c>
      <c r="GM5" s="123" t="e">
        <f>AND(Datos!#REF!,"AAAAAHcty8I=")</f>
        <v>#REF!</v>
      </c>
      <c r="GN5" s="123" t="e">
        <f>AND(Datos!#REF!,"AAAAAHcty8M=")</f>
        <v>#REF!</v>
      </c>
      <c r="GO5" s="123" t="e">
        <f>AND(Datos!#REF!,"AAAAAHcty8Q=")</f>
        <v>#REF!</v>
      </c>
      <c r="GP5" s="123" t="e">
        <f>AND(Datos!#REF!,"AAAAAHcty8U=")</f>
        <v>#REF!</v>
      </c>
      <c r="GQ5" s="123" t="e">
        <f>AND(Datos!#REF!,"AAAAAHcty8Y=")</f>
        <v>#REF!</v>
      </c>
      <c r="GR5" s="123" t="e">
        <f>AND(Datos!#REF!,"AAAAAHcty8c=")</f>
        <v>#REF!</v>
      </c>
      <c r="GS5" s="123" t="e">
        <f>IF(Datos!#REF!,"AAAAAHcty8g=",0)</f>
        <v>#REF!</v>
      </c>
      <c r="GT5" s="123" t="e">
        <f>AND(Datos!#REF!,"AAAAAHcty8k=")</f>
        <v>#REF!</v>
      </c>
      <c r="GU5" s="123" t="e">
        <f>AND(Datos!#REF!,"AAAAAHcty8o=")</f>
        <v>#REF!</v>
      </c>
      <c r="GV5" s="123" t="e">
        <f>AND(Datos!#REF!,"AAAAAHcty8s=")</f>
        <v>#REF!</v>
      </c>
      <c r="GW5" s="123" t="e">
        <f>AND(Datos!#REF!,"AAAAAHcty8w=")</f>
        <v>#REF!</v>
      </c>
      <c r="GX5" s="123" t="e">
        <f>AND(Datos!#REF!,"AAAAAHcty80=")</f>
        <v>#REF!</v>
      </c>
      <c r="GY5" s="123" t="e">
        <f>AND(Datos!#REF!,"AAAAAHcty84=")</f>
        <v>#REF!</v>
      </c>
      <c r="GZ5" s="123" t="e">
        <f>AND(Datos!#REF!,"AAAAAHcty88=")</f>
        <v>#REF!</v>
      </c>
      <c r="HA5" s="123" t="e">
        <f>AND(Datos!#REF!,"AAAAAHcty9A=")</f>
        <v>#REF!</v>
      </c>
      <c r="HB5" s="123" t="e">
        <f>AND(Datos!#REF!,"AAAAAHcty9E=")</f>
        <v>#REF!</v>
      </c>
      <c r="HC5" s="123" t="e">
        <f>AND(Datos!#REF!,"AAAAAHcty9I=")</f>
        <v>#REF!</v>
      </c>
      <c r="HD5" s="123" t="e">
        <f>AND(Datos!#REF!,"AAAAAHcty9M=")</f>
        <v>#REF!</v>
      </c>
      <c r="HE5" s="123" t="e">
        <f>AND(Datos!#REF!,"AAAAAHcty9Q=")</f>
        <v>#REF!</v>
      </c>
      <c r="HF5" s="123" t="e">
        <f>AND(Datos!#REF!,"AAAAAHcty9U=")</f>
        <v>#REF!</v>
      </c>
      <c r="HG5" s="123" t="e">
        <f>AND(Datos!#REF!,"AAAAAHcty9Y=")</f>
        <v>#REF!</v>
      </c>
      <c r="HH5" s="123" t="e">
        <f>AND(Datos!#REF!,"AAAAAHcty9c=")</f>
        <v>#REF!</v>
      </c>
      <c r="HI5" s="123" t="e">
        <f>AND(Datos!#REF!,"AAAAAHcty9g=")</f>
        <v>#REF!</v>
      </c>
      <c r="HJ5" s="123" t="e">
        <f>AND(Datos!#REF!,"AAAAAHcty9k=")</f>
        <v>#REF!</v>
      </c>
      <c r="HK5" s="123" t="e">
        <f>AND(Datos!#REF!,"AAAAAHcty9o=")</f>
        <v>#REF!</v>
      </c>
      <c r="HL5" s="123" t="e">
        <f>AND(Datos!#REF!,"AAAAAHcty9s=")</f>
        <v>#REF!</v>
      </c>
      <c r="HM5" s="123" t="e">
        <f>AND(Datos!#REF!,"AAAAAHcty9w=")</f>
        <v>#REF!</v>
      </c>
      <c r="HN5" s="123" t="e">
        <f>AND(Datos!#REF!,"AAAAAHcty90=")</f>
        <v>#REF!</v>
      </c>
      <c r="HO5" s="123" t="e">
        <f>AND(Datos!#REF!,"AAAAAHcty94=")</f>
        <v>#REF!</v>
      </c>
      <c r="HP5" s="123" t="e">
        <f>AND(Datos!#REF!,"AAAAAHcty98=")</f>
        <v>#REF!</v>
      </c>
      <c r="HQ5" s="123">
        <f>IF(Datos!72:72,"AAAAAHcty+A=",0)</f>
        <v>0</v>
      </c>
      <c r="HR5" s="123" t="e">
        <f>AND(Datos!A72,"AAAAAHcty+E=")</f>
        <v>#VALUE!</v>
      </c>
      <c r="HS5" s="123" t="e">
        <f>AND(Datos!B72,"AAAAAHcty+I=")</f>
        <v>#VALUE!</v>
      </c>
      <c r="HT5" s="123" t="e">
        <f>AND(Datos!C72,"AAAAAHcty+M=")</f>
        <v>#VALUE!</v>
      </c>
      <c r="HU5" s="123" t="e">
        <f>AND(Datos!D72,"AAAAAHcty+Q=")</f>
        <v>#VALUE!</v>
      </c>
      <c r="HV5" s="123" t="e">
        <f>AND(Datos!E72,"AAAAAHcty+U=")</f>
        <v>#VALUE!</v>
      </c>
      <c r="HW5" s="123" t="e">
        <f>AND(Datos!F72,"AAAAAHcty+Y=")</f>
        <v>#VALUE!</v>
      </c>
      <c r="HX5" s="123" t="e">
        <f>AND(Datos!G72,"AAAAAHcty+c=")</f>
        <v>#VALUE!</v>
      </c>
      <c r="HY5" s="123" t="e">
        <f>AND(Datos!H72,"AAAAAHcty+g=")</f>
        <v>#VALUE!</v>
      </c>
      <c r="HZ5" s="123" t="e">
        <f>AND(Datos!I72,"AAAAAHcty+k=")</f>
        <v>#VALUE!</v>
      </c>
      <c r="IA5" s="123" t="e">
        <f>AND(Datos!J72,"AAAAAHcty+o=")</f>
        <v>#VALUE!</v>
      </c>
      <c r="IB5" s="123" t="e">
        <f>AND(Datos!K72,"AAAAAHcty+s=")</f>
        <v>#VALUE!</v>
      </c>
      <c r="IC5" s="123" t="e">
        <f>AND(Datos!L72,"AAAAAHcty+w=")</f>
        <v>#VALUE!</v>
      </c>
      <c r="ID5" s="123" t="e">
        <f>AND(Datos!M72,"AAAAAHcty+0=")</f>
        <v>#VALUE!</v>
      </c>
      <c r="IE5" s="123" t="e">
        <f>AND(Datos!#REF!,"AAAAAHcty+4=")</f>
        <v>#REF!</v>
      </c>
      <c r="IF5" s="123" t="e">
        <f>AND(Datos!#REF!,"AAAAAHcty+8=")</f>
        <v>#REF!</v>
      </c>
      <c r="IG5" s="123" t="e">
        <f>AND(Datos!P72,"AAAAAHcty/A=")</f>
        <v>#VALUE!</v>
      </c>
      <c r="IH5" s="123" t="e">
        <f>AND(Datos!Q72,"AAAAAHcty/E=")</f>
        <v>#VALUE!</v>
      </c>
      <c r="II5" s="123" t="e">
        <f>AND(Datos!R72,"AAAAAHcty/I=")</f>
        <v>#VALUE!</v>
      </c>
      <c r="IJ5" s="123" t="e">
        <f>AND(Datos!S72,"AAAAAHcty/M=")</f>
        <v>#VALUE!</v>
      </c>
      <c r="IK5" s="123" t="e">
        <f>AND(Datos!T72,"AAAAAHcty/Q=")</f>
        <v>#VALUE!</v>
      </c>
      <c r="IL5" s="123" t="e">
        <f>AND(Datos!U72,"AAAAAHcty/U=")</f>
        <v>#VALUE!</v>
      </c>
      <c r="IM5" s="123" t="e">
        <f>AND(Datos!V72,"AAAAAHcty/Y=")</f>
        <v>#VALUE!</v>
      </c>
      <c r="IN5" s="123" t="e">
        <f>AND(Datos!W72,"AAAAAHcty/c=")</f>
        <v>#VALUE!</v>
      </c>
      <c r="IO5" s="123">
        <f>IF(Datos!73:73,"AAAAAHcty/g=",0)</f>
        <v>0</v>
      </c>
      <c r="IP5" s="123" t="e">
        <f>AND(Datos!A73,"AAAAAHcty/k=")</f>
        <v>#VALUE!</v>
      </c>
      <c r="IQ5" s="123" t="e">
        <f>AND(Datos!B73,"AAAAAHcty/o=")</f>
        <v>#VALUE!</v>
      </c>
      <c r="IR5" s="123" t="e">
        <f>AND(Datos!C73,"AAAAAHcty/s=")</f>
        <v>#VALUE!</v>
      </c>
      <c r="IS5" s="123" t="e">
        <f>AND(Datos!D73,"AAAAAHcty/w=")</f>
        <v>#VALUE!</v>
      </c>
      <c r="IT5" s="123" t="e">
        <f>AND(Datos!E73,"AAAAAHcty/0=")</f>
        <v>#VALUE!</v>
      </c>
      <c r="IU5" s="123" t="e">
        <f>AND(Datos!F73,"AAAAAHcty/4=")</f>
        <v>#VALUE!</v>
      </c>
      <c r="IV5" s="123" t="e">
        <f>AND(Datos!G73,"AAAAAHcty/8=")</f>
        <v>#VALUE!</v>
      </c>
    </row>
    <row r="6" spans="1:256" ht="14.4">
      <c r="A6" s="123" t="e">
        <f>AND(Datos!H73,"AAAAAH3+3gA=")</f>
        <v>#VALUE!</v>
      </c>
      <c r="B6" s="123" t="e">
        <f>AND(Datos!I73,"AAAAAH3+3gE=")</f>
        <v>#VALUE!</v>
      </c>
      <c r="C6" s="123" t="e">
        <f>AND(Datos!J73,"AAAAAH3+3gI=")</f>
        <v>#VALUE!</v>
      </c>
      <c r="D6" s="123" t="e">
        <f>AND(Datos!#REF!,"AAAAAH3+3gM=")</f>
        <v>#REF!</v>
      </c>
      <c r="E6" s="123" t="e">
        <f>AND(Datos!L73,"AAAAAH3+3gQ=")</f>
        <v>#VALUE!</v>
      </c>
      <c r="F6" s="123" t="e">
        <f>AND(Datos!M73,"AAAAAH3+3gU=")</f>
        <v>#VALUE!</v>
      </c>
      <c r="G6" s="123" t="e">
        <f>AND(Datos!#REF!,"AAAAAH3+3gY=")</f>
        <v>#REF!</v>
      </c>
      <c r="H6" s="123" t="e">
        <f>AND(Datos!#REF!,"AAAAAH3+3gc=")</f>
        <v>#REF!</v>
      </c>
      <c r="I6" s="123" t="e">
        <f>AND(Datos!P73,"AAAAAH3+3gg=")</f>
        <v>#VALUE!</v>
      </c>
      <c r="J6" s="123" t="e">
        <f>AND(Datos!Q73,"AAAAAH3+3gk=")</f>
        <v>#VALUE!</v>
      </c>
      <c r="K6" s="123" t="e">
        <f>AND(Datos!R73,"AAAAAH3+3go=")</f>
        <v>#VALUE!</v>
      </c>
      <c r="L6" s="123" t="e">
        <f>AND(Datos!S73,"AAAAAH3+3gs=")</f>
        <v>#VALUE!</v>
      </c>
      <c r="M6" s="123" t="e">
        <f>AND(Datos!T73,"AAAAAH3+3gw=")</f>
        <v>#VALUE!</v>
      </c>
      <c r="N6" s="123" t="e">
        <f>AND(Datos!U73,"AAAAAH3+3g0=")</f>
        <v>#VALUE!</v>
      </c>
      <c r="O6" s="123" t="e">
        <f>AND(Datos!V73,"AAAAAH3+3g4=")</f>
        <v>#VALUE!</v>
      </c>
      <c r="P6" s="123" t="e">
        <f>AND(Datos!W73,"AAAAAH3+3g8=")</f>
        <v>#VALUE!</v>
      </c>
      <c r="Q6" s="123">
        <f>IF(Datos!74:74,"AAAAAH3+3hA=",0)</f>
        <v>0</v>
      </c>
      <c r="R6" s="123" t="e">
        <f>AND(Datos!A74,"AAAAAH3+3hE=")</f>
        <v>#VALUE!</v>
      </c>
      <c r="S6" s="123" t="e">
        <f>AND(Datos!B74,"AAAAAH3+3hI=")</f>
        <v>#VALUE!</v>
      </c>
      <c r="T6" s="123" t="e">
        <f>AND(Datos!C74,"AAAAAH3+3hM=")</f>
        <v>#VALUE!</v>
      </c>
      <c r="U6" s="123" t="e">
        <f>AND(Datos!D74,"AAAAAH3+3hQ=")</f>
        <v>#VALUE!</v>
      </c>
      <c r="V6" s="123" t="e">
        <f>AND(Datos!E74,"AAAAAH3+3hU=")</f>
        <v>#VALUE!</v>
      </c>
      <c r="W6" s="123" t="e">
        <f>AND(Datos!F74,"AAAAAH3+3hY=")</f>
        <v>#VALUE!</v>
      </c>
      <c r="X6" s="123" t="e">
        <f>AND(Datos!G74,"AAAAAH3+3hc=")</f>
        <v>#VALUE!</v>
      </c>
      <c r="Y6" s="123" t="e">
        <f>AND(Datos!H74,"AAAAAH3+3hg=")</f>
        <v>#VALUE!</v>
      </c>
      <c r="Z6" s="123" t="e">
        <f>AND(Datos!I74,"AAAAAH3+3hk=")</f>
        <v>#VALUE!</v>
      </c>
      <c r="AA6" s="123" t="e">
        <f>AND(Datos!J74,"AAAAAH3+3ho=")</f>
        <v>#VALUE!</v>
      </c>
      <c r="AB6" s="123" t="e">
        <f>AND(Datos!K73,"AAAAAH3+3hs=")</f>
        <v>#VALUE!</v>
      </c>
      <c r="AC6" s="123" t="e">
        <f>AND(Datos!L74,"AAAAAH3+3hw=")</f>
        <v>#VALUE!</v>
      </c>
      <c r="AD6" s="123" t="e">
        <f>AND(Datos!M74,"AAAAAH3+3h0=")</f>
        <v>#VALUE!</v>
      </c>
      <c r="AE6" s="123" t="e">
        <f>AND(Datos!#REF!,"AAAAAH3+3h4=")</f>
        <v>#REF!</v>
      </c>
      <c r="AF6" s="123" t="e">
        <f>AND(Datos!#REF!,"AAAAAH3+3h8=")</f>
        <v>#REF!</v>
      </c>
      <c r="AG6" s="123" t="e">
        <f>AND(Datos!P74,"AAAAAH3+3iA=")</f>
        <v>#VALUE!</v>
      </c>
      <c r="AH6" s="123" t="e">
        <f>AND(Datos!Q74,"AAAAAH3+3iE=")</f>
        <v>#VALUE!</v>
      </c>
      <c r="AI6" s="123" t="e">
        <f>AND(Datos!R74,"AAAAAH3+3iI=")</f>
        <v>#VALUE!</v>
      </c>
      <c r="AJ6" s="123" t="e">
        <f>AND(Datos!S74,"AAAAAH3+3iM=")</f>
        <v>#VALUE!</v>
      </c>
      <c r="AK6" s="123" t="e">
        <f>AND(Datos!T74,"AAAAAH3+3iQ=")</f>
        <v>#VALUE!</v>
      </c>
      <c r="AL6" s="123" t="e">
        <f>AND(Datos!U74,"AAAAAH3+3iU=")</f>
        <v>#VALUE!</v>
      </c>
      <c r="AM6" s="123" t="e">
        <f>AND(Datos!V74,"AAAAAH3+3iY=")</f>
        <v>#VALUE!</v>
      </c>
      <c r="AN6" s="123" t="e">
        <f>AND(Datos!W74,"AAAAAH3+3ic=")</f>
        <v>#VALUE!</v>
      </c>
      <c r="AO6" s="123">
        <f>IF(Datos!75:75,"AAAAAH3+3ig=",0)</f>
        <v>0</v>
      </c>
      <c r="AP6" s="123" t="e">
        <f>AND(Datos!A75,"AAAAAH3+3ik=")</f>
        <v>#VALUE!</v>
      </c>
      <c r="AQ6" s="123" t="e">
        <f>AND(Datos!B75,"AAAAAH3+3io=")</f>
        <v>#VALUE!</v>
      </c>
      <c r="AR6" s="123" t="e">
        <f>AND(Datos!C75,"AAAAAH3+3is=")</f>
        <v>#VALUE!</v>
      </c>
      <c r="AS6" s="123" t="e">
        <f>AND(Datos!D75,"AAAAAH3+3iw=")</f>
        <v>#VALUE!</v>
      </c>
      <c r="AT6" s="123" t="e">
        <f>AND(Datos!E75,"AAAAAH3+3i0=")</f>
        <v>#VALUE!</v>
      </c>
      <c r="AU6" s="123" t="e">
        <f>AND(Datos!F75,"AAAAAH3+3i4=")</f>
        <v>#VALUE!</v>
      </c>
      <c r="AV6" s="123" t="e">
        <f>AND(Datos!G75,"AAAAAH3+3i8=")</f>
        <v>#VALUE!</v>
      </c>
      <c r="AW6" s="123" t="e">
        <f>AND(Datos!H75,"AAAAAH3+3jA=")</f>
        <v>#VALUE!</v>
      </c>
      <c r="AX6" s="123" t="e">
        <f>AND(Datos!I75,"AAAAAH3+3jE=")</f>
        <v>#VALUE!</v>
      </c>
      <c r="AY6" s="123" t="e">
        <f>AND(Datos!J75,"AAAAAH3+3jI=")</f>
        <v>#VALUE!</v>
      </c>
      <c r="AZ6" s="123" t="e">
        <f>AND(Datos!#REF!,"AAAAAH3+3jM=")</f>
        <v>#REF!</v>
      </c>
      <c r="BA6" s="123" t="e">
        <f>AND(Datos!L75,"AAAAAH3+3jQ=")</f>
        <v>#VALUE!</v>
      </c>
      <c r="BB6" s="123" t="e">
        <f>AND(Datos!M75,"AAAAAH3+3jU=")</f>
        <v>#VALUE!</v>
      </c>
      <c r="BC6" s="123" t="e">
        <f>AND(Datos!N75,"AAAAAH3+3jY=")</f>
        <v>#VALUE!</v>
      </c>
      <c r="BD6" s="123" t="e">
        <f>AND(Datos!#REF!,"AAAAAH3+3jc=")</f>
        <v>#REF!</v>
      </c>
      <c r="BE6" s="123" t="e">
        <f>AND(Datos!P75,"AAAAAH3+3jg=")</f>
        <v>#VALUE!</v>
      </c>
      <c r="BF6" s="123" t="e">
        <f>AND(Datos!Q75,"AAAAAH3+3jk=")</f>
        <v>#VALUE!</v>
      </c>
      <c r="BG6" s="123" t="e">
        <f>AND(Datos!R75,"AAAAAH3+3jo=")</f>
        <v>#VALUE!</v>
      </c>
      <c r="BH6" s="123" t="e">
        <f>AND(Datos!S75,"AAAAAH3+3js=")</f>
        <v>#VALUE!</v>
      </c>
      <c r="BI6" s="123" t="e">
        <f>AND(Datos!T75,"AAAAAH3+3jw=")</f>
        <v>#VALUE!</v>
      </c>
      <c r="BJ6" s="123" t="e">
        <f>AND(Datos!U75,"AAAAAH3+3j0=")</f>
        <v>#VALUE!</v>
      </c>
      <c r="BK6" s="123" t="e">
        <f>AND(Datos!V75,"AAAAAH3+3j4=")</f>
        <v>#VALUE!</v>
      </c>
      <c r="BL6" s="123" t="e">
        <f>AND(Datos!W75,"AAAAAH3+3j8=")</f>
        <v>#VALUE!</v>
      </c>
      <c r="BM6" s="123">
        <f>IF(Datos!76:76,"AAAAAH3+3kA=",0)</f>
        <v>0</v>
      </c>
      <c r="BN6" s="123" t="e">
        <f>AND(Datos!A76,"AAAAAH3+3kE=")</f>
        <v>#VALUE!</v>
      </c>
      <c r="BO6" s="123" t="e">
        <f>AND(Datos!B76,"AAAAAH3+3kI=")</f>
        <v>#VALUE!</v>
      </c>
      <c r="BP6" s="123" t="e">
        <f>AND(Datos!C76,"AAAAAH3+3kM=")</f>
        <v>#VALUE!</v>
      </c>
      <c r="BQ6" s="123" t="e">
        <f>AND(Datos!D76,"AAAAAH3+3kQ=")</f>
        <v>#VALUE!</v>
      </c>
      <c r="BR6" s="123" t="e">
        <f>AND(Datos!E76,"AAAAAH3+3kU=")</f>
        <v>#VALUE!</v>
      </c>
      <c r="BS6" s="123" t="e">
        <f>AND(Datos!F76,"AAAAAH3+3kY=")</f>
        <v>#VALUE!</v>
      </c>
      <c r="BT6" s="123" t="e">
        <f>AND(Datos!G76,"AAAAAH3+3kc=")</f>
        <v>#VALUE!</v>
      </c>
      <c r="BU6" s="123" t="e">
        <f>AND(Datos!H76,"AAAAAH3+3kg=")</f>
        <v>#VALUE!</v>
      </c>
      <c r="BV6" s="123" t="e">
        <f>AND(Datos!I76,"AAAAAH3+3kk=")</f>
        <v>#VALUE!</v>
      </c>
      <c r="BW6" s="123" t="e">
        <f>AND(Datos!J76,"AAAAAH3+3ko=")</f>
        <v>#VALUE!</v>
      </c>
      <c r="BX6" s="123" t="e">
        <f>AND(Datos!K76,"AAAAAH3+3ks=")</f>
        <v>#VALUE!</v>
      </c>
      <c r="BY6" s="123">
        <f>IF(Datos!77:77,"AAAAAH3+3kw=",0)</f>
        <v>0</v>
      </c>
      <c r="BZ6" s="123" t="e">
        <f>AND(Datos!A77,"AAAAAH3+3k0=")</f>
        <v>#VALUE!</v>
      </c>
      <c r="CA6" s="123" t="e">
        <f>AND(Datos!B77,"AAAAAH3+3k4=")</f>
        <v>#VALUE!</v>
      </c>
      <c r="CB6" s="123" t="e">
        <f>AND(Datos!C77,"AAAAAH3+3k8=")</f>
        <v>#VALUE!</v>
      </c>
      <c r="CC6" s="123" t="e">
        <f>AND(Datos!D77,"AAAAAH3+3lA=")</f>
        <v>#VALUE!</v>
      </c>
      <c r="CD6" s="123" t="e">
        <f>AND(Datos!E77,"AAAAAH3+3lE=")</f>
        <v>#VALUE!</v>
      </c>
      <c r="CE6" s="123" t="e">
        <f>AND(Datos!F77,"AAAAAH3+3lI=")</f>
        <v>#VALUE!</v>
      </c>
      <c r="CF6" s="123" t="e">
        <f>AND(Datos!G77,"AAAAAH3+3lM=")</f>
        <v>#VALUE!</v>
      </c>
      <c r="CG6" s="123" t="e">
        <f>AND(Datos!H77,"AAAAAH3+3lQ=")</f>
        <v>#VALUE!</v>
      </c>
      <c r="CH6" s="123" t="e">
        <f>AND(Datos!I77,"AAAAAH3+3lU=")</f>
        <v>#VALUE!</v>
      </c>
      <c r="CI6" s="123" t="e">
        <f>AND(Datos!J77,"AAAAAH3+3lY=")</f>
        <v>#VALUE!</v>
      </c>
      <c r="CJ6" s="123" t="e">
        <f>AND(Datos!K74,"AAAAAH3+3lc=")</f>
        <v>#VALUE!</v>
      </c>
      <c r="CK6" s="123">
        <f>IF(Datos!78:78,"AAAAAH3+3lg=",0)</f>
        <v>0</v>
      </c>
      <c r="CL6" s="123" t="e">
        <f>AND(Datos!A78,"AAAAAH3+3lk=")</f>
        <v>#VALUE!</v>
      </c>
      <c r="CM6" s="123" t="e">
        <f>AND(Datos!B78,"AAAAAH3+3lo=")</f>
        <v>#VALUE!</v>
      </c>
      <c r="CN6" s="123" t="e">
        <f>AND(Datos!C78,"AAAAAH3+3ls=")</f>
        <v>#VALUE!</v>
      </c>
      <c r="CO6" s="123" t="e">
        <f>AND(Datos!D78,"AAAAAH3+3lw=")</f>
        <v>#VALUE!</v>
      </c>
      <c r="CP6" s="123" t="e">
        <f>AND(Datos!E78,"AAAAAH3+3l0=")</f>
        <v>#VALUE!</v>
      </c>
      <c r="CQ6" s="123" t="e">
        <f>AND(Datos!F78,"AAAAAH3+3l4=")</f>
        <v>#VALUE!</v>
      </c>
      <c r="CR6" s="123" t="e">
        <f>AND(Datos!G78,"AAAAAH3+3l8=")</f>
        <v>#VALUE!</v>
      </c>
      <c r="CS6" s="123" t="e">
        <f>AND(Datos!H78,"AAAAAH3+3mA=")</f>
        <v>#VALUE!</v>
      </c>
      <c r="CT6" s="123" t="e">
        <f>AND(Datos!I78,"AAAAAH3+3mE=")</f>
        <v>#VALUE!</v>
      </c>
      <c r="CU6" s="123" t="e">
        <f>AND(Datos!J78,"AAAAAH3+3mI=")</f>
        <v>#VALUE!</v>
      </c>
      <c r="CV6" s="123" t="e">
        <f>AND(Datos!K78,"AAAAAH3+3mM=")</f>
        <v>#VALUE!</v>
      </c>
      <c r="CW6" s="123">
        <f>IF(Datos!79:79,"AAAAAH3+3mQ=",0)</f>
        <v>0</v>
      </c>
      <c r="CX6" s="123" t="e">
        <f>AND(Datos!A79,"AAAAAH3+3mU=")</f>
        <v>#VALUE!</v>
      </c>
      <c r="CY6" s="123" t="e">
        <f>AND(Datos!B79,"AAAAAH3+3mY=")</f>
        <v>#VALUE!</v>
      </c>
      <c r="CZ6" s="123" t="e">
        <f>AND(Datos!C79,"AAAAAH3+3mc=")</f>
        <v>#VALUE!</v>
      </c>
      <c r="DA6" s="123" t="e">
        <f>AND(Datos!D79,"AAAAAH3+3mg=")</f>
        <v>#VALUE!</v>
      </c>
      <c r="DB6" s="123" t="e">
        <f>AND(Datos!E79,"AAAAAH3+3mk=")</f>
        <v>#VALUE!</v>
      </c>
      <c r="DC6" s="123" t="e">
        <f>AND(Datos!F79,"AAAAAH3+3mo=")</f>
        <v>#VALUE!</v>
      </c>
      <c r="DD6" s="123" t="e">
        <f>AND(Datos!G79,"AAAAAH3+3ms=")</f>
        <v>#VALUE!</v>
      </c>
      <c r="DE6" s="123" t="e">
        <f>AND(Datos!H79,"AAAAAH3+3mw=")</f>
        <v>#VALUE!</v>
      </c>
      <c r="DF6" s="123" t="e">
        <f>AND(Datos!I79,"AAAAAH3+3m0=")</f>
        <v>#VALUE!</v>
      </c>
      <c r="DG6" s="123" t="e">
        <f>AND(Datos!J79,"AAAAAH3+3m4=")</f>
        <v>#VALUE!</v>
      </c>
      <c r="DH6" s="123" t="e">
        <f>AND(Datos!K79,"AAAAAH3+3m8=")</f>
        <v>#VALUE!</v>
      </c>
      <c r="DI6" s="123">
        <f>IF(Datos!80:80,"AAAAAH3+3nA=",0)</f>
        <v>0</v>
      </c>
      <c r="DJ6" s="123" t="e">
        <f>AND(Datos!A80,"AAAAAH3+3nE=")</f>
        <v>#VALUE!</v>
      </c>
      <c r="DK6" s="123" t="e">
        <f>AND(Datos!B80,"AAAAAH3+3nI=")</f>
        <v>#VALUE!</v>
      </c>
      <c r="DL6" s="123" t="e">
        <f>AND(Datos!C80,"AAAAAH3+3nM=")</f>
        <v>#VALUE!</v>
      </c>
      <c r="DM6" s="123" t="e">
        <f>AND(Datos!D80,"AAAAAH3+3nQ=")</f>
        <v>#VALUE!</v>
      </c>
      <c r="DN6" s="123" t="e">
        <f>AND(Datos!E80,"AAAAAH3+3nU=")</f>
        <v>#VALUE!</v>
      </c>
      <c r="DO6" s="123" t="e">
        <f>AND(Datos!F80,"AAAAAH3+3nY=")</f>
        <v>#VALUE!</v>
      </c>
      <c r="DP6" s="123" t="e">
        <f>AND(Datos!G80,"AAAAAH3+3nc=")</f>
        <v>#VALUE!</v>
      </c>
      <c r="DQ6" s="123" t="e">
        <f>AND(Datos!H80,"AAAAAH3+3ng=")</f>
        <v>#VALUE!</v>
      </c>
      <c r="DR6" s="123" t="e">
        <f>AND(Datos!I80,"AAAAAH3+3nk=")</f>
        <v>#VALUE!</v>
      </c>
      <c r="DS6" s="123" t="e">
        <f>AND(Datos!J80,"AAAAAH3+3no=")</f>
        <v>#VALUE!</v>
      </c>
      <c r="DT6" s="123" t="e">
        <f>AND(Datos!K80,"AAAAAH3+3ns=")</f>
        <v>#VALUE!</v>
      </c>
      <c r="DU6" s="123">
        <f>IF(Datos!81:81,"AAAAAH3+3nw=",0)</f>
        <v>0</v>
      </c>
      <c r="DV6" s="123" t="e">
        <f>AND(Datos!A81,"AAAAAH3+3n0=")</f>
        <v>#VALUE!</v>
      </c>
      <c r="DW6" s="123" t="e">
        <f>AND(Datos!B81,"AAAAAH3+3n4=")</f>
        <v>#VALUE!</v>
      </c>
      <c r="DX6" s="123" t="e">
        <f>AND(Datos!C81,"AAAAAH3+3n8=")</f>
        <v>#VALUE!</v>
      </c>
      <c r="DY6" s="123" t="e">
        <f>AND(Datos!D81,"AAAAAH3+3oA=")</f>
        <v>#VALUE!</v>
      </c>
      <c r="DZ6" s="123" t="e">
        <f>AND(Datos!E81,"AAAAAH3+3oE=")</f>
        <v>#VALUE!</v>
      </c>
      <c r="EA6" s="123" t="e">
        <f>AND(Datos!F81,"AAAAAH3+3oI=")</f>
        <v>#VALUE!</v>
      </c>
      <c r="EB6" s="123" t="e">
        <f>AND(Datos!G81,"AAAAAH3+3oM=")</f>
        <v>#VALUE!</v>
      </c>
      <c r="EC6" s="123" t="e">
        <f>AND(Datos!H81,"AAAAAH3+3oQ=")</f>
        <v>#VALUE!</v>
      </c>
      <c r="ED6" s="123" t="e">
        <f>AND(Datos!I81,"AAAAAH3+3oU=")</f>
        <v>#VALUE!</v>
      </c>
      <c r="EE6" s="123" t="e">
        <f>AND(Datos!J81,"AAAAAH3+3oY=")</f>
        <v>#VALUE!</v>
      </c>
      <c r="EF6" s="123" t="e">
        <f>AND(Datos!K81,"AAAAAH3+3oc=")</f>
        <v>#VALUE!</v>
      </c>
      <c r="EG6" s="123">
        <f>IF(Datos!82:82,"AAAAAH3+3og=",0)</f>
        <v>0</v>
      </c>
      <c r="EH6" s="123" t="e">
        <f>AND(Datos!A82,"AAAAAH3+3ok=")</f>
        <v>#VALUE!</v>
      </c>
      <c r="EI6" s="123" t="e">
        <f>AND(Datos!B82,"AAAAAH3+3oo=")</f>
        <v>#VALUE!</v>
      </c>
      <c r="EJ6" s="123" t="e">
        <f>AND(Datos!C82,"AAAAAH3+3os=")</f>
        <v>#VALUE!</v>
      </c>
      <c r="EK6" s="123" t="e">
        <f>AND(Datos!D82,"AAAAAH3+3ow=")</f>
        <v>#VALUE!</v>
      </c>
      <c r="EL6" s="123" t="e">
        <f>AND(Datos!E82,"AAAAAH3+3o0=")</f>
        <v>#VALUE!</v>
      </c>
      <c r="EM6" s="123" t="e">
        <f>AND(Datos!F82,"AAAAAH3+3o4=")</f>
        <v>#VALUE!</v>
      </c>
      <c r="EN6" s="123" t="e">
        <f>AND(Datos!G82,"AAAAAH3+3o8=")</f>
        <v>#VALUE!</v>
      </c>
      <c r="EO6" s="123" t="e">
        <f>AND(Datos!H82,"AAAAAH3+3pA=")</f>
        <v>#VALUE!</v>
      </c>
      <c r="EP6" s="123" t="e">
        <f>AND(Datos!I82,"AAAAAH3+3pE=")</f>
        <v>#VALUE!</v>
      </c>
      <c r="EQ6" s="123" t="e">
        <f>AND(Datos!J82,"AAAAAH3+3pI=")</f>
        <v>#VALUE!</v>
      </c>
      <c r="ER6" s="123" t="e">
        <f>AND(Datos!K82,"AAAAAH3+3pM=")</f>
        <v>#VALUE!</v>
      </c>
      <c r="ES6" s="123">
        <f>IF(Datos!83:83,"AAAAAH3+3pQ=",0)</f>
        <v>0</v>
      </c>
      <c r="ET6" s="123" t="e">
        <f>AND(Datos!A83,"AAAAAH3+3pU=")</f>
        <v>#VALUE!</v>
      </c>
      <c r="EU6" s="123" t="e">
        <f>AND(Datos!B83,"AAAAAH3+3pY=")</f>
        <v>#VALUE!</v>
      </c>
      <c r="EV6" s="123" t="e">
        <f>AND(Datos!C83,"AAAAAH3+3pc=")</f>
        <v>#VALUE!</v>
      </c>
      <c r="EW6" s="123" t="e">
        <f>AND(Datos!D83,"AAAAAH3+3pg=")</f>
        <v>#VALUE!</v>
      </c>
      <c r="EX6" s="123" t="e">
        <f>AND(Datos!E83,"AAAAAH3+3pk=")</f>
        <v>#VALUE!</v>
      </c>
      <c r="EY6" s="123" t="e">
        <f>AND(Datos!F83,"AAAAAH3+3po=")</f>
        <v>#VALUE!</v>
      </c>
      <c r="EZ6" s="123" t="e">
        <f>AND(Datos!G83,"AAAAAH3+3ps=")</f>
        <v>#VALUE!</v>
      </c>
      <c r="FA6" s="123" t="e">
        <f>AND(Datos!H83,"AAAAAH3+3pw=")</f>
        <v>#VALUE!</v>
      </c>
      <c r="FB6" s="123" t="e">
        <f>AND(Datos!I83,"AAAAAH3+3p0=")</f>
        <v>#VALUE!</v>
      </c>
      <c r="FC6" s="123" t="e">
        <f>AND(Datos!J83,"AAAAAH3+3p4=")</f>
        <v>#VALUE!</v>
      </c>
      <c r="FD6" s="123" t="e">
        <f>AND(Datos!K75,"AAAAAH3+3p8=")</f>
        <v>#VALUE!</v>
      </c>
      <c r="FE6" s="123">
        <f>IF(Datos!84:84,"AAAAAH3+3qA=",0)</f>
        <v>0</v>
      </c>
      <c r="FF6" s="123" t="e">
        <f>AND(Datos!A84,"AAAAAH3+3qE=")</f>
        <v>#VALUE!</v>
      </c>
      <c r="FG6" s="123" t="e">
        <f>AND(Datos!B84,"AAAAAH3+3qI=")</f>
        <v>#VALUE!</v>
      </c>
      <c r="FH6" s="123" t="e">
        <f>AND(Datos!C84,"AAAAAH3+3qM=")</f>
        <v>#VALUE!</v>
      </c>
      <c r="FI6" s="123" t="e">
        <f>AND(Datos!D84,"AAAAAH3+3qQ=")</f>
        <v>#VALUE!</v>
      </c>
      <c r="FJ6" s="123" t="e">
        <f>AND(Datos!E84,"AAAAAH3+3qU=")</f>
        <v>#VALUE!</v>
      </c>
      <c r="FK6" s="123" t="e">
        <f>AND(Datos!F84,"AAAAAH3+3qY=")</f>
        <v>#VALUE!</v>
      </c>
      <c r="FL6" s="123" t="e">
        <f>AND(Datos!G84,"AAAAAH3+3qc=")</f>
        <v>#VALUE!</v>
      </c>
      <c r="FM6" s="123" t="e">
        <f>AND(Datos!H84,"AAAAAH3+3qg=")</f>
        <v>#VALUE!</v>
      </c>
      <c r="FN6" s="123" t="e">
        <f>AND(Datos!I84,"AAAAAH3+3qk=")</f>
        <v>#VALUE!</v>
      </c>
      <c r="FO6" s="123" t="e">
        <f>AND(Datos!J84,"AAAAAH3+3qo=")</f>
        <v>#VALUE!</v>
      </c>
      <c r="FP6" s="123" t="e">
        <f>AND(Datos!K84,"AAAAAH3+3qs=")</f>
        <v>#VALUE!</v>
      </c>
      <c r="FQ6" s="123">
        <f>IF(Datos!85:85,"AAAAAH3+3qw=",0)</f>
        <v>0</v>
      </c>
      <c r="FR6" s="123" t="e">
        <f>AND(Datos!A85,"AAAAAH3+3q0=")</f>
        <v>#VALUE!</v>
      </c>
      <c r="FS6" s="123" t="e">
        <f>AND(Datos!B85,"AAAAAH3+3q4=")</f>
        <v>#VALUE!</v>
      </c>
      <c r="FT6" s="123" t="e">
        <f>AND(Datos!C85,"AAAAAH3+3q8=")</f>
        <v>#VALUE!</v>
      </c>
      <c r="FU6" s="123" t="e">
        <f>AND(Datos!D85,"AAAAAH3+3rA=")</f>
        <v>#VALUE!</v>
      </c>
      <c r="FV6" s="123" t="e">
        <f>AND(Datos!E85,"AAAAAH3+3rE=")</f>
        <v>#VALUE!</v>
      </c>
      <c r="FW6" s="123" t="e">
        <f>AND(Datos!F85,"AAAAAH3+3rI=")</f>
        <v>#VALUE!</v>
      </c>
      <c r="FX6" s="123" t="e">
        <f>AND(Datos!G85,"AAAAAH3+3rM=")</f>
        <v>#VALUE!</v>
      </c>
      <c r="FY6" s="123" t="e">
        <f>AND(Datos!H85,"AAAAAH3+3rQ=")</f>
        <v>#VALUE!</v>
      </c>
      <c r="FZ6" s="123" t="e">
        <f>AND(Datos!I85,"AAAAAH3+3rU=")</f>
        <v>#VALUE!</v>
      </c>
      <c r="GA6" s="123" t="e">
        <f>AND(Datos!J85,"AAAAAH3+3rY=")</f>
        <v>#VALUE!</v>
      </c>
      <c r="GB6" s="123" t="e">
        <f>AND(Datos!K85,"AAAAAH3+3rc=")</f>
        <v>#VALUE!</v>
      </c>
      <c r="GC6" s="123">
        <f>IF(Datos!86:86,"AAAAAH3+3rg=",0)</f>
        <v>0</v>
      </c>
      <c r="GD6" s="123" t="e">
        <f>AND(Datos!A86,"AAAAAH3+3rk=")</f>
        <v>#VALUE!</v>
      </c>
      <c r="GE6" s="123" t="e">
        <f>AND(Datos!B86,"AAAAAH3+3ro=")</f>
        <v>#VALUE!</v>
      </c>
      <c r="GF6" s="123" t="e">
        <f>AND(Datos!C86,"AAAAAH3+3rs=")</f>
        <v>#VALUE!</v>
      </c>
      <c r="GG6" s="123" t="e">
        <f>AND(Datos!D86,"AAAAAH3+3rw=")</f>
        <v>#VALUE!</v>
      </c>
      <c r="GH6" s="123" t="e">
        <f>AND(Datos!E86,"AAAAAH3+3r0=")</f>
        <v>#VALUE!</v>
      </c>
      <c r="GI6" s="123" t="e">
        <f>AND(Datos!F86,"AAAAAH3+3r4=")</f>
        <v>#VALUE!</v>
      </c>
      <c r="GJ6" s="123" t="e">
        <f>AND(Datos!G86,"AAAAAH3+3r8=")</f>
        <v>#VALUE!</v>
      </c>
      <c r="GK6" s="123" t="e">
        <f>AND(Datos!H86,"AAAAAH3+3sA=")</f>
        <v>#VALUE!</v>
      </c>
      <c r="GL6" s="123" t="e">
        <f>AND(Datos!I86,"AAAAAH3+3sE=")</f>
        <v>#VALUE!</v>
      </c>
      <c r="GM6" s="123" t="e">
        <f>AND(Datos!J86,"AAAAAH3+3sI=")</f>
        <v>#VALUE!</v>
      </c>
      <c r="GN6" s="123" t="e">
        <f>AND(Datos!K86,"AAAAAH3+3sM=")</f>
        <v>#VALUE!</v>
      </c>
      <c r="GO6" s="123">
        <f>IF(Datos!87:87,"AAAAAH3+3sQ=",0)</f>
        <v>0</v>
      </c>
      <c r="GP6" s="123" t="e">
        <f>AND(Datos!A87,"AAAAAH3+3sU=")</f>
        <v>#VALUE!</v>
      </c>
      <c r="GQ6" s="123" t="e">
        <f>AND(Datos!B87,"AAAAAH3+3sY=")</f>
        <v>#VALUE!</v>
      </c>
      <c r="GR6" s="123" t="e">
        <f>AND(Datos!C87,"AAAAAH3+3sc=")</f>
        <v>#VALUE!</v>
      </c>
      <c r="GS6" s="123" t="e">
        <f>AND(Datos!D87,"AAAAAH3+3sg=")</f>
        <v>#VALUE!</v>
      </c>
      <c r="GT6" s="123" t="e">
        <f>AND(Datos!E87,"AAAAAH3+3sk=")</f>
        <v>#VALUE!</v>
      </c>
      <c r="GU6" s="123" t="e">
        <f>AND(Datos!F87,"AAAAAH3+3so=")</f>
        <v>#VALUE!</v>
      </c>
      <c r="GV6" s="123" t="e">
        <f>AND(Datos!G87,"AAAAAH3+3ss=")</f>
        <v>#VALUE!</v>
      </c>
      <c r="GW6" s="123" t="e">
        <f>AND(Datos!H87,"AAAAAH3+3sw=")</f>
        <v>#VALUE!</v>
      </c>
      <c r="GX6" s="123" t="e">
        <f>AND(Datos!I87,"AAAAAH3+3s0=")</f>
        <v>#VALUE!</v>
      </c>
      <c r="GY6" s="123" t="e">
        <f>AND(Datos!J87,"AAAAAH3+3s4=")</f>
        <v>#VALUE!</v>
      </c>
      <c r="GZ6" s="123" t="e">
        <f>AND(Datos!#REF!,"AAAAAH3+3s8=")</f>
        <v>#REF!</v>
      </c>
      <c r="HA6" s="123">
        <f>IF(Datos!A:A,"AAAAAH3+3tA=",0)</f>
        <v>0</v>
      </c>
      <c r="HB6" s="123">
        <f>IF(Datos!B:B,"AAAAAH3+3tE=",0)</f>
        <v>0</v>
      </c>
      <c r="HC6" s="123">
        <f>IF(Datos!C:C,"AAAAAH3+3tI=",0)</f>
        <v>0</v>
      </c>
      <c r="HD6" s="123">
        <f>IF(Datos!D:D,"AAAAAH3+3tM=",0)</f>
        <v>0</v>
      </c>
      <c r="HE6" s="123">
        <f>IF(Datos!E:E,"AAAAAH3+3tQ=",0)</f>
        <v>0</v>
      </c>
      <c r="HF6" s="123">
        <f>IF(Datos!F:F,"AAAAAH3+3tU=",0)</f>
        <v>0</v>
      </c>
      <c r="HG6" s="123">
        <f>IF(Datos!G:G,"AAAAAH3+3tY=",0)</f>
        <v>0</v>
      </c>
      <c r="HH6" s="123">
        <f>IF(Datos!H:H,"AAAAAH3+3tc=",0)</f>
        <v>0</v>
      </c>
      <c r="HI6" s="123">
        <f>IF(Datos!I:I,"AAAAAH3+3tg=",0)</f>
        <v>0</v>
      </c>
      <c r="HJ6" s="123">
        <f>IF(Datos!J:J,"AAAAAH3+3tk=",0)</f>
        <v>0</v>
      </c>
      <c r="HK6" s="123">
        <f>IF(Datos!K:K,"AAAAAH3+3to=",0)</f>
        <v>0</v>
      </c>
      <c r="HL6" s="123">
        <f>IF(Datos!L:L,"AAAAAH3+3ts=",0)</f>
        <v>0</v>
      </c>
      <c r="HM6" s="123">
        <f>IF(Datos!M:M,"AAAAAH3+3tw=",0)</f>
        <v>0</v>
      </c>
      <c r="HN6" s="123">
        <f>IF(Datos!N:N,"AAAAAH3+3t0=",0)</f>
        <v>0</v>
      </c>
      <c r="HO6" s="123">
        <f>IF(Datos!O:O,"AAAAAH3+3t4=",0)</f>
        <v>0</v>
      </c>
      <c r="HP6" s="123">
        <f>IF(Datos!P:P,"AAAAAH3+3t8=",0)</f>
        <v>0</v>
      </c>
      <c r="HQ6" s="123">
        <f>IF(Datos!Q:Q,"AAAAAH3+3uA=",0)</f>
        <v>0</v>
      </c>
      <c r="HR6" s="123">
        <f>IF(Datos!R:R,"AAAAAH3+3uE=",0)</f>
        <v>0</v>
      </c>
      <c r="HS6" s="123">
        <f>IF(Datos!S:S,"AAAAAH3+3uI=",0)</f>
        <v>0</v>
      </c>
      <c r="HT6" s="123">
        <f>IF(Datos!T:T,"AAAAAH3+3uM=",0)</f>
        <v>0</v>
      </c>
      <c r="HU6" s="123">
        <f>IF(Datos!U:U,"AAAAAH3+3uQ=",0)</f>
        <v>0</v>
      </c>
      <c r="HV6" s="123">
        <f>IF(Datos!V:V,"AAAAAH3+3uU=",0)</f>
        <v>0</v>
      </c>
      <c r="HW6" s="123">
        <f>IF(Datos!W:W,"AAAAAH3+3uY=",0)</f>
        <v>0</v>
      </c>
      <c r="HX6" s="123">
        <f>IF(Clasificación!1:1,"AAAAAH3+3uc=",0)</f>
        <v>0</v>
      </c>
      <c r="HY6" s="123" t="e">
        <f>AND(Clasificación!A1,"AAAAAH3+3ug=")</f>
        <v>#VALUE!</v>
      </c>
      <c r="HZ6" s="123" t="e">
        <f>AND(Clasificación!B1,"AAAAAH3+3uk=")</f>
        <v>#VALUE!</v>
      </c>
      <c r="IA6" s="123" t="e">
        <f>AND(Clasificación!C1,"AAAAAH3+3uo=")</f>
        <v>#VALUE!</v>
      </c>
      <c r="IB6" s="123" t="e">
        <f>AND(Clasificación!D1,"AAAAAH3+3us=")</f>
        <v>#VALUE!</v>
      </c>
      <c r="IC6" s="123" t="e">
        <f>AND(Clasificación!E1,"AAAAAH3+3uw=")</f>
        <v>#VALUE!</v>
      </c>
      <c r="ID6" s="123" t="e">
        <f>AND(Clasificación!F1,"AAAAAH3+3u0=")</f>
        <v>#VALUE!</v>
      </c>
      <c r="IE6" s="123" t="e">
        <f>AND(Clasificación!G1,"AAAAAH3+3u4=")</f>
        <v>#VALUE!</v>
      </c>
      <c r="IF6" s="123" t="e">
        <f>AND(Clasificación!H1,"AAAAAH3+3u8=")</f>
        <v>#VALUE!</v>
      </c>
      <c r="IG6" s="123" t="e">
        <f>AND(Clasificación!I1,"AAAAAH3+3vA=")</f>
        <v>#VALUE!</v>
      </c>
      <c r="IH6" s="123">
        <f>IF(Clasificación!2:2,"AAAAAH3+3vE=",0)</f>
        <v>0</v>
      </c>
      <c r="II6" s="123" t="e">
        <f>AND(Clasificación!A2,"AAAAAH3+3vI=")</f>
        <v>#VALUE!</v>
      </c>
      <c r="IJ6" s="123" t="e">
        <f>AND(Clasificación!B2,"AAAAAH3+3vM=")</f>
        <v>#VALUE!</v>
      </c>
      <c r="IK6" s="123" t="e">
        <f>AND(Clasificación!C2,"AAAAAH3+3vQ=")</f>
        <v>#VALUE!</v>
      </c>
      <c r="IL6" s="123" t="e">
        <f>AND(Clasificación!D2,"AAAAAH3+3vU=")</f>
        <v>#VALUE!</v>
      </c>
      <c r="IM6" s="123" t="e">
        <f>AND(Clasificación!E2,"AAAAAH3+3vY=")</f>
        <v>#VALUE!</v>
      </c>
      <c r="IN6" s="123" t="e">
        <f>AND(Clasificación!F2,"AAAAAH3+3vc=")</f>
        <v>#VALUE!</v>
      </c>
      <c r="IO6" s="123" t="e">
        <f>AND(Clasificación!G2,"AAAAAH3+3vg=")</f>
        <v>#VALUE!</v>
      </c>
      <c r="IP6" s="123" t="e">
        <f>AND(Clasificación!H2,"AAAAAH3+3vk=")</f>
        <v>#VALUE!</v>
      </c>
      <c r="IQ6" s="123" t="e">
        <f>AND(Clasificación!I2,"AAAAAH3+3vo=")</f>
        <v>#VALUE!</v>
      </c>
      <c r="IR6" s="123">
        <f>IF(Clasificación!3:3,"AAAAAH3+3vs=",0)</f>
        <v>0</v>
      </c>
      <c r="IS6" s="123" t="e">
        <f>AND(Clasificación!A3,"AAAAAH3+3vw=")</f>
        <v>#VALUE!</v>
      </c>
      <c r="IT6" s="123" t="e">
        <f>AND(Clasificación!B3,"AAAAAH3+3v0=")</f>
        <v>#VALUE!</v>
      </c>
      <c r="IU6" s="123" t="e">
        <f>AND(Clasificación!C3,"AAAAAH3+3v4=")</f>
        <v>#VALUE!</v>
      </c>
      <c r="IV6" s="123" t="e">
        <f>AND(Clasificación!D3,"AAAAAH3+3v8=")</f>
        <v>#VALUE!</v>
      </c>
    </row>
    <row r="7" spans="1:256" ht="14.4">
      <c r="A7" s="123" t="e">
        <f>AND(Clasificación!E3,"AAAAAF7+/gA=")</f>
        <v>#VALUE!</v>
      </c>
      <c r="B7" s="123" t="e">
        <f>AND(Clasificación!F3,"AAAAAF7+/gE=")</f>
        <v>#VALUE!</v>
      </c>
      <c r="C7" s="123" t="e">
        <f>AND(Clasificación!G3,"AAAAAF7+/gI=")</f>
        <v>#VALUE!</v>
      </c>
      <c r="D7" s="123" t="e">
        <f>AND(Clasificación!H3,"AAAAAF7+/gM=")</f>
        <v>#VALUE!</v>
      </c>
      <c r="E7" s="123" t="e">
        <f>AND(Clasificación!I3,"AAAAAF7+/gQ=")</f>
        <v>#VALUE!</v>
      </c>
      <c r="F7" s="123">
        <f>IF(Clasificación!4:4,"AAAAAF7+/gU=",0)</f>
        <v>0</v>
      </c>
      <c r="G7" s="123" t="e">
        <f>AND(Clasificación!A4,"AAAAAF7+/gY=")</f>
        <v>#VALUE!</v>
      </c>
      <c r="H7" s="123" t="e">
        <f>AND(Clasificación!B4,"AAAAAF7+/gc=")</f>
        <v>#VALUE!</v>
      </c>
      <c r="I7" s="123" t="e">
        <f>AND(Clasificación!C4,"AAAAAF7+/gg=")</f>
        <v>#VALUE!</v>
      </c>
      <c r="J7" s="123" t="e">
        <f>AND(Clasificación!D4,"AAAAAF7+/gk=")</f>
        <v>#VALUE!</v>
      </c>
      <c r="K7" s="123" t="e">
        <f>AND(Clasificación!E4,"AAAAAF7+/go=")</f>
        <v>#VALUE!</v>
      </c>
      <c r="L7" s="123" t="e">
        <f>AND(Clasificación!F4,"AAAAAF7+/gs=")</f>
        <v>#VALUE!</v>
      </c>
      <c r="M7" s="123" t="e">
        <f>AND(Clasificación!G4,"AAAAAF7+/gw=")</f>
        <v>#VALUE!</v>
      </c>
      <c r="N7" s="123" t="e">
        <f>AND(Clasificación!H4,"AAAAAF7+/g0=")</f>
        <v>#VALUE!</v>
      </c>
      <c r="O7" s="123" t="e">
        <f>AND(Clasificación!I4,"AAAAAF7+/g4=")</f>
        <v>#VALUE!</v>
      </c>
      <c r="P7" s="123">
        <f>IF(Clasificación!5:5,"AAAAAF7+/g8=",0)</f>
        <v>0</v>
      </c>
      <c r="Q7" s="123" t="e">
        <f>AND(Clasificación!A5,"AAAAAF7+/hA=")</f>
        <v>#VALUE!</v>
      </c>
      <c r="R7" s="123" t="e">
        <f>AND(Clasificación!B5,"AAAAAF7+/hE=")</f>
        <v>#VALUE!</v>
      </c>
      <c r="S7" s="123" t="e">
        <f>AND(Clasificación!C5,"AAAAAF7+/hI=")</f>
        <v>#VALUE!</v>
      </c>
      <c r="T7" s="123" t="e">
        <f>AND(Clasificación!D5,"AAAAAF7+/hM=")</f>
        <v>#VALUE!</v>
      </c>
      <c r="U7" s="123" t="e">
        <f>AND(Clasificación!E5,"AAAAAF7+/hQ=")</f>
        <v>#VALUE!</v>
      </c>
      <c r="V7" s="123" t="e">
        <f>AND(Clasificación!F5,"AAAAAF7+/hU=")</f>
        <v>#VALUE!</v>
      </c>
      <c r="W7" s="123" t="e">
        <f>AND(Clasificación!G5,"AAAAAF7+/hY=")</f>
        <v>#VALUE!</v>
      </c>
      <c r="X7" s="123" t="e">
        <f>AND(Clasificación!H5,"AAAAAF7+/hc=")</f>
        <v>#VALUE!</v>
      </c>
      <c r="Y7" s="123" t="e">
        <f>AND(Clasificación!I5,"AAAAAF7+/hg=")</f>
        <v>#VALUE!</v>
      </c>
      <c r="Z7" s="123">
        <f>IF(Clasificación!6:6,"AAAAAF7+/hk=",0)</f>
        <v>0</v>
      </c>
      <c r="AA7" s="123" t="e">
        <f>AND(Clasificación!A6,"AAAAAF7+/ho=")</f>
        <v>#VALUE!</v>
      </c>
      <c r="AB7" s="123" t="e">
        <f>AND(Clasificación!B6,"AAAAAF7+/hs=")</f>
        <v>#VALUE!</v>
      </c>
      <c r="AC7" s="123" t="e">
        <f>AND(Clasificación!C6,"AAAAAF7+/hw=")</f>
        <v>#VALUE!</v>
      </c>
      <c r="AD7" s="123" t="e">
        <f>AND(Clasificación!D6,"AAAAAF7+/h0=")</f>
        <v>#VALUE!</v>
      </c>
      <c r="AE7" s="123" t="e">
        <f>AND(Clasificación!E6,"AAAAAF7+/h4=")</f>
        <v>#VALUE!</v>
      </c>
      <c r="AF7" s="123" t="e">
        <f>AND(Clasificación!F6,"AAAAAF7+/h8=")</f>
        <v>#VALUE!</v>
      </c>
      <c r="AG7" s="123" t="e">
        <f>AND(Clasificación!G6,"AAAAAF7+/iA=")</f>
        <v>#VALUE!</v>
      </c>
      <c r="AH7" s="123" t="e">
        <f>AND(Clasificación!H6,"AAAAAF7+/iE=")</f>
        <v>#VALUE!</v>
      </c>
      <c r="AI7" s="123" t="e">
        <f>AND(Clasificación!I6,"AAAAAF7+/iI=")</f>
        <v>#VALUE!</v>
      </c>
      <c r="AJ7" s="123">
        <f>IF(Clasificación!7:7,"AAAAAF7+/iM=",0)</f>
        <v>0</v>
      </c>
      <c r="AK7" s="123" t="e">
        <f>AND(Clasificación!A7,"AAAAAF7+/iQ=")</f>
        <v>#VALUE!</v>
      </c>
      <c r="AL7" s="123" t="e">
        <f>AND(Clasificación!B7,"AAAAAF7+/iU=")</f>
        <v>#VALUE!</v>
      </c>
      <c r="AM7" s="123" t="e">
        <f>AND(Clasificación!C7,"AAAAAF7+/iY=")</f>
        <v>#VALUE!</v>
      </c>
      <c r="AN7" s="123" t="e">
        <f>AND(Clasificación!D7,"AAAAAF7+/ic=")</f>
        <v>#VALUE!</v>
      </c>
      <c r="AO7" s="123" t="e">
        <f>AND(Clasificación!E7,"AAAAAF7+/ig=")</f>
        <v>#VALUE!</v>
      </c>
      <c r="AP7" s="123" t="e">
        <f>AND(Clasificación!F7,"AAAAAF7+/ik=")</f>
        <v>#VALUE!</v>
      </c>
      <c r="AQ7" s="123" t="e">
        <f>AND(Clasificación!G7,"AAAAAF7+/io=")</f>
        <v>#VALUE!</v>
      </c>
      <c r="AR7" s="123" t="e">
        <f>AND(Clasificación!H7,"AAAAAF7+/is=")</f>
        <v>#VALUE!</v>
      </c>
      <c r="AS7" s="123" t="e">
        <f>AND(Clasificación!I7,"AAAAAF7+/iw=")</f>
        <v>#VALUE!</v>
      </c>
      <c r="AT7" s="123">
        <f>IF(Clasificación!8:8,"AAAAAF7+/i0=",0)</f>
        <v>0</v>
      </c>
      <c r="AU7" s="123" t="e">
        <f>AND(Clasificación!A8,"AAAAAF7+/i4=")</f>
        <v>#VALUE!</v>
      </c>
      <c r="AV7" s="123" t="e">
        <f>AND(Clasificación!B8,"AAAAAF7+/i8=")</f>
        <v>#VALUE!</v>
      </c>
      <c r="AW7" s="123" t="e">
        <f>AND(Clasificación!C8,"AAAAAF7+/jA=")</f>
        <v>#VALUE!</v>
      </c>
      <c r="AX7" s="123" t="e">
        <f>AND(Clasificación!D8,"AAAAAF7+/jE=")</f>
        <v>#VALUE!</v>
      </c>
      <c r="AY7" s="123" t="e">
        <f>AND(Clasificación!E8,"AAAAAF7+/jI=")</f>
        <v>#VALUE!</v>
      </c>
      <c r="AZ7" s="123" t="e">
        <f>AND(Clasificación!F8,"AAAAAF7+/jM=")</f>
        <v>#VALUE!</v>
      </c>
      <c r="BA7" s="123" t="e">
        <f>AND(Clasificación!G8,"AAAAAF7+/jQ=")</f>
        <v>#VALUE!</v>
      </c>
      <c r="BB7" s="123" t="e">
        <f>AND(Clasificación!H8,"AAAAAF7+/jU=")</f>
        <v>#VALUE!</v>
      </c>
      <c r="BC7" s="123" t="e">
        <f>AND(Clasificación!I8,"AAAAAF7+/jY=")</f>
        <v>#VALUE!</v>
      </c>
      <c r="BD7" s="123">
        <f>IF(Clasificación!9:9,"AAAAAF7+/jc=",0)</f>
        <v>0</v>
      </c>
      <c r="BE7" s="123" t="e">
        <f>AND(Clasificación!A9,"AAAAAF7+/jg=")</f>
        <v>#VALUE!</v>
      </c>
      <c r="BF7" s="123" t="e">
        <f>AND(Clasificación!B9,"AAAAAF7+/jk=")</f>
        <v>#VALUE!</v>
      </c>
      <c r="BG7" s="123" t="e">
        <f>AND(Clasificación!C9,"AAAAAF7+/jo=")</f>
        <v>#VALUE!</v>
      </c>
      <c r="BH7" s="123" t="e">
        <f>AND(Clasificación!D9,"AAAAAF7+/js=")</f>
        <v>#VALUE!</v>
      </c>
      <c r="BI7" s="123" t="e">
        <f>AND(Clasificación!E9,"AAAAAF7+/jw=")</f>
        <v>#VALUE!</v>
      </c>
      <c r="BJ7" s="123" t="e">
        <f>AND(Clasificación!F9,"AAAAAF7+/j0=")</f>
        <v>#VALUE!</v>
      </c>
      <c r="BK7" s="123" t="e">
        <f>AND(Clasificación!G9,"AAAAAF7+/j4=")</f>
        <v>#VALUE!</v>
      </c>
      <c r="BL7" s="123" t="e">
        <f>AND(Clasificación!H9,"AAAAAF7+/j8=")</f>
        <v>#VALUE!</v>
      </c>
      <c r="BM7" s="123" t="e">
        <f>AND(Clasificación!I9,"AAAAAF7+/kA=")</f>
        <v>#VALUE!</v>
      </c>
      <c r="BN7" s="123">
        <f>IF(Clasificación!10:10,"AAAAAF7+/kE=",0)</f>
        <v>0</v>
      </c>
      <c r="BO7" s="123" t="e">
        <f>AND(Clasificación!A10,"AAAAAF7+/kI=")</f>
        <v>#VALUE!</v>
      </c>
      <c r="BP7" s="123" t="e">
        <f>AND(Clasificación!B10,"AAAAAF7+/kM=")</f>
        <v>#VALUE!</v>
      </c>
      <c r="BQ7" s="123" t="e">
        <f>AND(Clasificación!C10,"AAAAAF7+/kQ=")</f>
        <v>#VALUE!</v>
      </c>
      <c r="BR7" s="123" t="e">
        <f>AND(Clasificación!D10,"AAAAAF7+/kU=")</f>
        <v>#VALUE!</v>
      </c>
      <c r="BS7" s="123" t="e">
        <f>AND(Clasificación!E10,"AAAAAF7+/kY=")</f>
        <v>#VALUE!</v>
      </c>
      <c r="BT7" s="123" t="e">
        <f>AND(Clasificación!F10,"AAAAAF7+/kc=")</f>
        <v>#VALUE!</v>
      </c>
      <c r="BU7" s="123" t="e">
        <f>AND(Clasificación!G10,"AAAAAF7+/kg=")</f>
        <v>#VALUE!</v>
      </c>
      <c r="BV7" s="123" t="e">
        <f>AND(Clasificación!H10,"AAAAAF7+/kk=")</f>
        <v>#VALUE!</v>
      </c>
      <c r="BW7" s="123" t="e">
        <f>AND(Clasificación!I10,"AAAAAF7+/ko=")</f>
        <v>#VALUE!</v>
      </c>
      <c r="BX7" s="123">
        <f>IF(Clasificación!11:11,"AAAAAF7+/ks=",0)</f>
        <v>0</v>
      </c>
      <c r="BY7" s="123" t="e">
        <f>AND(Clasificación!A11,"AAAAAF7+/kw=")</f>
        <v>#VALUE!</v>
      </c>
      <c r="BZ7" s="123" t="e">
        <f>AND(Clasificación!B11,"AAAAAF7+/k0=")</f>
        <v>#VALUE!</v>
      </c>
      <c r="CA7" s="123" t="e">
        <f>AND(Clasificación!C11,"AAAAAF7+/k4=")</f>
        <v>#VALUE!</v>
      </c>
      <c r="CB7" s="123" t="e">
        <f>AND(Clasificación!D11,"AAAAAF7+/k8=")</f>
        <v>#VALUE!</v>
      </c>
      <c r="CC7" s="123" t="e">
        <f>AND(Clasificación!E11,"AAAAAF7+/lA=")</f>
        <v>#VALUE!</v>
      </c>
      <c r="CD7" s="123" t="e">
        <f>AND(Clasificación!F11,"AAAAAF7+/lE=")</f>
        <v>#VALUE!</v>
      </c>
      <c r="CE7" s="123" t="e">
        <f>AND(Clasificación!G11,"AAAAAF7+/lI=")</f>
        <v>#VALUE!</v>
      </c>
      <c r="CF7" s="123" t="e">
        <f>AND(Clasificación!H11,"AAAAAF7+/lM=")</f>
        <v>#VALUE!</v>
      </c>
      <c r="CG7" s="123" t="e">
        <f>AND(Clasificación!I11,"AAAAAF7+/lQ=")</f>
        <v>#VALUE!</v>
      </c>
      <c r="CH7" s="123">
        <f>IF(Clasificación!12:12,"AAAAAF7+/lU=",0)</f>
        <v>0</v>
      </c>
      <c r="CI7" s="123" t="e">
        <f>AND(Clasificación!A12,"AAAAAF7+/lY=")</f>
        <v>#VALUE!</v>
      </c>
      <c r="CJ7" s="123" t="e">
        <f>AND(Clasificación!B12,"AAAAAF7+/lc=")</f>
        <v>#VALUE!</v>
      </c>
      <c r="CK7" s="123" t="e">
        <f>AND(Clasificación!C12,"AAAAAF7+/lg=")</f>
        <v>#VALUE!</v>
      </c>
      <c r="CL7" s="123" t="e">
        <f>AND(Clasificación!D12,"AAAAAF7+/lk=")</f>
        <v>#VALUE!</v>
      </c>
      <c r="CM7" s="123" t="e">
        <f>AND(Clasificación!E12,"AAAAAF7+/lo=")</f>
        <v>#VALUE!</v>
      </c>
      <c r="CN7" s="123" t="e">
        <f>AND(Clasificación!F12,"AAAAAF7+/ls=")</f>
        <v>#VALUE!</v>
      </c>
      <c r="CO7" s="123" t="e">
        <f>AND(Clasificación!G12,"AAAAAF7+/lw=")</f>
        <v>#VALUE!</v>
      </c>
      <c r="CP7" s="123" t="e">
        <f>AND(Clasificación!H12,"AAAAAF7+/l0=")</f>
        <v>#VALUE!</v>
      </c>
      <c r="CQ7" s="123" t="e">
        <f>AND(Clasificación!I12,"AAAAAF7+/l4=")</f>
        <v>#VALUE!</v>
      </c>
      <c r="CR7" s="123">
        <f>IF(Clasificación!13:13,"AAAAAF7+/l8=",0)</f>
        <v>0</v>
      </c>
      <c r="CS7" s="123" t="e">
        <f>AND(Clasificación!A13,"AAAAAF7+/mA=")</f>
        <v>#VALUE!</v>
      </c>
      <c r="CT7" s="123" t="e">
        <f>AND(Clasificación!B13,"AAAAAF7+/mE=")</f>
        <v>#VALUE!</v>
      </c>
      <c r="CU7" s="123" t="e">
        <f>AND(Clasificación!C13,"AAAAAF7+/mI=")</f>
        <v>#VALUE!</v>
      </c>
      <c r="CV7" s="123" t="e">
        <f>AND(Clasificación!D13,"AAAAAF7+/mM=")</f>
        <v>#VALUE!</v>
      </c>
      <c r="CW7" s="123" t="e">
        <f>AND(Clasificación!E13,"AAAAAF7+/mQ=")</f>
        <v>#VALUE!</v>
      </c>
      <c r="CX7" s="123" t="e">
        <f>AND(Clasificación!F13,"AAAAAF7+/mU=")</f>
        <v>#VALUE!</v>
      </c>
      <c r="CY7" s="123" t="e">
        <f>AND(Clasificación!G13,"AAAAAF7+/mY=")</f>
        <v>#VALUE!</v>
      </c>
      <c r="CZ7" s="123" t="e">
        <f>AND(Clasificación!H13,"AAAAAF7+/mc=")</f>
        <v>#VALUE!</v>
      </c>
      <c r="DA7" s="123" t="e">
        <f>AND(Clasificación!I13,"AAAAAF7+/mg=")</f>
        <v>#VALUE!</v>
      </c>
      <c r="DB7" s="123">
        <f>IF(Clasificación!14:14,"AAAAAF7+/mk=",0)</f>
        <v>0</v>
      </c>
      <c r="DC7" s="123" t="e">
        <f>AND(Clasificación!A14,"AAAAAF7+/mo=")</f>
        <v>#VALUE!</v>
      </c>
      <c r="DD7" s="123" t="e">
        <f>AND(Clasificación!B14,"AAAAAF7+/ms=")</f>
        <v>#VALUE!</v>
      </c>
      <c r="DE7" s="123" t="e">
        <f>AND(Clasificación!C14,"AAAAAF7+/mw=")</f>
        <v>#VALUE!</v>
      </c>
      <c r="DF7" s="123" t="e">
        <f>AND(Clasificación!D14,"AAAAAF7+/m0=")</f>
        <v>#VALUE!</v>
      </c>
      <c r="DG7" s="123" t="e">
        <f>AND(Clasificación!E14,"AAAAAF7+/m4=")</f>
        <v>#VALUE!</v>
      </c>
      <c r="DH7" s="123" t="e">
        <f>AND(Clasificación!F14,"AAAAAF7+/m8=")</f>
        <v>#VALUE!</v>
      </c>
      <c r="DI7" s="123" t="e">
        <f>AND(Clasificación!G14,"AAAAAF7+/nA=")</f>
        <v>#VALUE!</v>
      </c>
      <c r="DJ7" s="123" t="e">
        <f>AND(Clasificación!H14,"AAAAAF7+/nE=")</f>
        <v>#VALUE!</v>
      </c>
      <c r="DK7" s="123" t="e">
        <f>AND(Clasificación!I14,"AAAAAF7+/nI=")</f>
        <v>#VALUE!</v>
      </c>
      <c r="DL7" s="123">
        <f>IF(Clasificación!15:15,"AAAAAF7+/nM=",0)</f>
        <v>0</v>
      </c>
      <c r="DM7" s="123" t="e">
        <f>AND(Clasificación!A15,"AAAAAF7+/nQ=")</f>
        <v>#VALUE!</v>
      </c>
      <c r="DN7" s="123" t="e">
        <f>AND(Clasificación!B15,"AAAAAF7+/nU=")</f>
        <v>#VALUE!</v>
      </c>
      <c r="DO7" s="123" t="e">
        <f>AND(Clasificación!C15,"AAAAAF7+/nY=")</f>
        <v>#VALUE!</v>
      </c>
      <c r="DP7" s="123" t="e">
        <f>AND(Clasificación!D15,"AAAAAF7+/nc=")</f>
        <v>#VALUE!</v>
      </c>
      <c r="DQ7" s="123" t="e">
        <f>AND(Clasificación!E15,"AAAAAF7+/ng=")</f>
        <v>#VALUE!</v>
      </c>
      <c r="DR7" s="123" t="e">
        <f>AND(Clasificación!F15,"AAAAAF7+/nk=")</f>
        <v>#VALUE!</v>
      </c>
      <c r="DS7" s="123" t="e">
        <f>AND(Clasificación!G15,"AAAAAF7+/no=")</f>
        <v>#VALUE!</v>
      </c>
      <c r="DT7" s="123" t="e">
        <f>AND(Clasificación!H15,"AAAAAF7+/ns=")</f>
        <v>#VALUE!</v>
      </c>
      <c r="DU7" s="123" t="e">
        <f>AND(Clasificación!I15,"AAAAAF7+/nw=")</f>
        <v>#VALUE!</v>
      </c>
      <c r="DV7" s="123" t="e">
        <f>IF(Clasificación!A:A,"AAAAAF7+/n0=",0)</f>
        <v>#VALUE!</v>
      </c>
      <c r="DW7" s="123">
        <f>IF(Clasificación!B:B,"AAAAAF7+/n4=",0)</f>
        <v>0</v>
      </c>
      <c r="DX7" s="123">
        <f>IF(Clasificación!C:C,"AAAAAF7+/n8=",0)</f>
        <v>0</v>
      </c>
      <c r="DY7" s="123">
        <f>IF(Clasificación!D:D,"AAAAAF7+/oA=",0)</f>
        <v>0</v>
      </c>
      <c r="DZ7" s="123">
        <f>IF(Clasificación!E:E,"AAAAAF7+/oE=",0)</f>
        <v>0</v>
      </c>
      <c r="EA7" s="123">
        <f>IF(Clasificación!F:F,"AAAAAF7+/oI=",0)</f>
        <v>0</v>
      </c>
      <c r="EB7" s="123">
        <f>IF(Clasificación!G:G,"AAAAAF7+/oM=",0)</f>
        <v>0</v>
      </c>
      <c r="EC7" s="123">
        <f>IF(Clasificación!H:H,"AAAAAF7+/oQ=",0)</f>
        <v>0</v>
      </c>
      <c r="ED7" s="123">
        <f>IF(Clasificación!I:I,"AAAAAF7+/oU=",0)</f>
        <v>0</v>
      </c>
      <c r="EE7" s="123">
        <f>IF(Versiones!1:1,"AAAAAF7+/oY=",0)</f>
        <v>0</v>
      </c>
      <c r="EF7" s="123" t="e">
        <f>AND(Versiones!A1,"AAAAAF7+/oc=")</f>
        <v>#VALUE!</v>
      </c>
      <c r="EG7" s="123" t="e">
        <f>AND(Versiones!B1,"AAAAAF7+/og=")</f>
        <v>#VALUE!</v>
      </c>
      <c r="EH7" s="123" t="e">
        <f>AND(Versiones!C1,"AAAAAF7+/ok=")</f>
        <v>#VALUE!</v>
      </c>
      <c r="EI7" s="123" t="e">
        <f>AND(Versiones!D1,"AAAAAF7+/oo=")</f>
        <v>#VALUE!</v>
      </c>
      <c r="EJ7" s="123" t="e">
        <f>AND(Versiones!E1,"AAAAAF7+/os=")</f>
        <v>#VALUE!</v>
      </c>
      <c r="EK7" s="123" t="e">
        <f>AND(Versiones!F1,"AAAAAF7+/ow=")</f>
        <v>#VALUE!</v>
      </c>
      <c r="EL7" s="123" t="e">
        <f>AND(Versiones!#REF!,"AAAAAF7+/o0=")</f>
        <v>#REF!</v>
      </c>
      <c r="EM7" s="123" t="e">
        <f>AND(Versiones!G1,"AAAAAF7+/o4=")</f>
        <v>#VALUE!</v>
      </c>
      <c r="EN7" s="123" t="e">
        <f>AND(Versiones!H1,"AAAAAF7+/o8=")</f>
        <v>#VALUE!</v>
      </c>
      <c r="EO7" s="123" t="e">
        <f>AND(Versiones!I1,"AAAAAF7+/pA=")</f>
        <v>#VALUE!</v>
      </c>
      <c r="EP7" s="123" t="e">
        <f>AND(Versiones!J1,"AAAAAF7+/pE=")</f>
        <v>#VALUE!</v>
      </c>
      <c r="EQ7" s="123" t="e">
        <f>AND(Versiones!K1,"AAAAAF7+/pI=")</f>
        <v>#VALUE!</v>
      </c>
      <c r="ER7" s="123" t="e">
        <f>AND(Versiones!L1,"AAAAAF7+/pM=")</f>
        <v>#VALUE!</v>
      </c>
      <c r="ES7" s="123" t="e">
        <f>AND(Versiones!M1,"AAAAAF7+/pQ=")</f>
        <v>#VALUE!</v>
      </c>
      <c r="ET7" s="123" t="e">
        <f>AND(Versiones!N1,"AAAAAF7+/pU=")</f>
        <v>#VALUE!</v>
      </c>
      <c r="EU7" s="123" t="e">
        <f>AND(Versiones!O1,"AAAAAF7+/pY=")</f>
        <v>#VALUE!</v>
      </c>
      <c r="EV7" s="123" t="e">
        <f>AND(Versiones!P1,"AAAAAF7+/pc=")</f>
        <v>#VALUE!</v>
      </c>
      <c r="EW7" s="123" t="e">
        <f>AND(Versiones!Q1,"AAAAAF7+/pg=")</f>
        <v>#VALUE!</v>
      </c>
      <c r="EX7" s="123" t="e">
        <f>AND(Versiones!R1,"AAAAAF7+/pk=")</f>
        <v>#VALUE!</v>
      </c>
      <c r="EY7" s="123" t="e">
        <f>AND(Versiones!S1,"AAAAAF7+/po=")</f>
        <v>#VALUE!</v>
      </c>
      <c r="EZ7" s="123" t="e">
        <f>AND(Versiones!T1,"AAAAAF7+/ps=")</f>
        <v>#VALUE!</v>
      </c>
      <c r="FA7" s="123" t="e">
        <f>AND(Versiones!U1,"AAAAAF7+/pw=")</f>
        <v>#VALUE!</v>
      </c>
      <c r="FB7" s="123" t="e">
        <f>AND(Versiones!V1,"AAAAAF7+/p0=")</f>
        <v>#VALUE!</v>
      </c>
      <c r="FC7" s="123" t="e">
        <f>AND(Versiones!W1,"AAAAAF7+/p4=")</f>
        <v>#VALUE!</v>
      </c>
      <c r="FD7" s="123" t="e">
        <f>AND(Versiones!X1,"AAAAAF7+/p8=")</f>
        <v>#VALUE!</v>
      </c>
      <c r="FE7" s="123" t="e">
        <f>AND(Versiones!Y1,"AAAAAF7+/qA=")</f>
        <v>#VALUE!</v>
      </c>
      <c r="FF7" s="123" t="e">
        <f>AND(Versiones!Z1,"AAAAAF7+/qE=")</f>
        <v>#VALUE!</v>
      </c>
      <c r="FG7" s="123" t="e">
        <f>AND(Versiones!AA1,"AAAAAF7+/qI=")</f>
        <v>#VALUE!</v>
      </c>
      <c r="FH7" s="123" t="e">
        <f>AND(Versiones!AB1,"AAAAAF7+/qM=")</f>
        <v>#VALUE!</v>
      </c>
      <c r="FI7" s="123" t="e">
        <f>AND(Versiones!AC1,"AAAAAF7+/qQ=")</f>
        <v>#VALUE!</v>
      </c>
      <c r="FJ7" s="123" t="e">
        <f>AND(Versiones!AD1,"AAAAAF7+/qU=")</f>
        <v>#VALUE!</v>
      </c>
      <c r="FK7" s="123" t="e">
        <f>AND(Versiones!AE1,"AAAAAF7+/qY=")</f>
        <v>#VALUE!</v>
      </c>
      <c r="FL7" s="123" t="e">
        <f>AND(Versiones!AF1,"AAAAAF7+/qc=")</f>
        <v>#VALUE!</v>
      </c>
      <c r="FM7" s="123" t="e">
        <f>AND(Versiones!AG1,"AAAAAF7+/qg=")</f>
        <v>#VALUE!</v>
      </c>
      <c r="FN7" s="123" t="e">
        <f>AND(Versiones!AH1,"AAAAAF7+/qk=")</f>
        <v>#VALUE!</v>
      </c>
      <c r="FO7" s="123" t="e">
        <f>AND(Versiones!AI1,"AAAAAF7+/qo=")</f>
        <v>#VALUE!</v>
      </c>
      <c r="FP7" s="123" t="e">
        <f>AND(Versiones!AJ1,"AAAAAF7+/qs=")</f>
        <v>#VALUE!</v>
      </c>
      <c r="FQ7" s="123" t="e">
        <f>AND(Versiones!AK1,"AAAAAF7+/qw=")</f>
        <v>#VALUE!</v>
      </c>
      <c r="FR7" s="123" t="e">
        <f>AND(Versiones!AL1,"AAAAAF7+/q0=")</f>
        <v>#VALUE!</v>
      </c>
      <c r="FS7" s="123" t="e">
        <f>AND(Versiones!AM1,"AAAAAF7+/q4=")</f>
        <v>#VALUE!</v>
      </c>
      <c r="FT7" s="123" t="e">
        <f>AND(Versiones!AN1,"AAAAAF7+/q8=")</f>
        <v>#VALUE!</v>
      </c>
      <c r="FU7" s="123" t="e">
        <f>AND(Versiones!AO1,"AAAAAF7+/rA=")</f>
        <v>#VALUE!</v>
      </c>
      <c r="FV7" s="123" t="e">
        <f>AND(Versiones!AP1,"AAAAAF7+/rE=")</f>
        <v>#VALUE!</v>
      </c>
      <c r="FW7" s="123" t="e">
        <f>AND(Versiones!AQ1,"AAAAAF7+/rI=")</f>
        <v>#VALUE!</v>
      </c>
      <c r="FX7" s="123" t="e">
        <f>AND(Versiones!AR1,"AAAAAF7+/rM=")</f>
        <v>#VALUE!</v>
      </c>
      <c r="FY7" s="123" t="e">
        <f>AND(Versiones!AS1,"AAAAAF7+/rQ=")</f>
        <v>#VALUE!</v>
      </c>
      <c r="FZ7" s="123" t="e">
        <f>AND(Versiones!AT1,"AAAAAF7+/rU=")</f>
        <v>#VALUE!</v>
      </c>
      <c r="GA7" s="123" t="e">
        <f>AND(Versiones!AU1,"AAAAAF7+/rY=")</f>
        <v>#VALUE!</v>
      </c>
      <c r="GB7" s="123" t="e">
        <f>AND(Versiones!AV1,"AAAAAF7+/rc=")</f>
        <v>#VALUE!</v>
      </c>
      <c r="GC7" s="123" t="e">
        <f>AND(Versiones!AW1,"AAAAAF7+/rg=")</f>
        <v>#VALUE!</v>
      </c>
      <c r="GD7" s="123" t="e">
        <f>AND(Versiones!AX1,"AAAAAF7+/rk=")</f>
        <v>#VALUE!</v>
      </c>
      <c r="GE7" s="123" t="e">
        <f>AND(Versiones!AY1,"AAAAAF7+/ro=")</f>
        <v>#VALUE!</v>
      </c>
      <c r="GF7" s="123" t="e">
        <f>AND(Versiones!AZ1,"AAAAAF7+/rs=")</f>
        <v>#VALUE!</v>
      </c>
      <c r="GG7" s="123" t="e">
        <f>AND(Versiones!BA1,"AAAAAF7+/rw=")</f>
        <v>#VALUE!</v>
      </c>
      <c r="GH7" s="123" t="e">
        <f>AND(Versiones!BB1,"AAAAAF7+/r0=")</f>
        <v>#VALUE!</v>
      </c>
      <c r="GI7" s="123" t="e">
        <f>AND(Versiones!BC1,"AAAAAF7+/r4=")</f>
        <v>#VALUE!</v>
      </c>
      <c r="GJ7" s="123" t="e">
        <f>AND(Versiones!BD1,"AAAAAF7+/r8=")</f>
        <v>#VALUE!</v>
      </c>
      <c r="GK7" s="123" t="e">
        <f>AND(Versiones!BE1,"AAAAAF7+/sA=")</f>
        <v>#VALUE!</v>
      </c>
      <c r="GL7" s="123" t="e">
        <f>AND(Versiones!BF1,"AAAAAF7+/sE=")</f>
        <v>#VALUE!</v>
      </c>
      <c r="GM7" s="123" t="e">
        <f>AND(Versiones!BG1,"AAAAAF7+/sI=")</f>
        <v>#VALUE!</v>
      </c>
      <c r="GN7" s="123" t="e">
        <f>AND(Versiones!BH1,"AAAAAF7+/sM=")</f>
        <v>#VALUE!</v>
      </c>
      <c r="GO7" s="123" t="e">
        <f>AND(Versiones!BI1,"AAAAAF7+/sQ=")</f>
        <v>#VALUE!</v>
      </c>
      <c r="GP7" s="123" t="e">
        <f>AND(Versiones!BJ1,"AAAAAF7+/sU=")</f>
        <v>#VALUE!</v>
      </c>
      <c r="GQ7" s="123" t="e">
        <f>AND(Versiones!BK1,"AAAAAF7+/sY=")</f>
        <v>#VALUE!</v>
      </c>
      <c r="GR7" s="123" t="e">
        <f>AND(Versiones!BL1,"AAAAAF7+/sc=")</f>
        <v>#VALUE!</v>
      </c>
      <c r="GS7" s="123" t="e">
        <f>AND(Versiones!BM1,"AAAAAF7+/sg=")</f>
        <v>#VALUE!</v>
      </c>
      <c r="GT7" s="123" t="e">
        <f>AND(Versiones!BN1,"AAAAAF7+/sk=")</f>
        <v>#VALUE!</v>
      </c>
      <c r="GU7" s="123" t="e">
        <f>AND(Versiones!BO1,"AAAAAF7+/so=")</f>
        <v>#VALUE!</v>
      </c>
      <c r="GV7" s="123" t="e">
        <f>AND(Versiones!BP1,"AAAAAF7+/ss=")</f>
        <v>#VALUE!</v>
      </c>
      <c r="GW7" s="123" t="e">
        <f>AND(Versiones!BQ1,"AAAAAF7+/sw=")</f>
        <v>#VALUE!</v>
      </c>
      <c r="GX7" s="123" t="e">
        <f>AND(Versiones!BR1,"AAAAAF7+/s0=")</f>
        <v>#VALUE!</v>
      </c>
      <c r="GY7" s="123" t="e">
        <f>AND(Versiones!BS1,"AAAAAF7+/s4=")</f>
        <v>#VALUE!</v>
      </c>
      <c r="GZ7" s="123" t="e">
        <f>AND(Versiones!BT1,"AAAAAF7+/s8=")</f>
        <v>#VALUE!</v>
      </c>
      <c r="HA7" s="123" t="e">
        <f>AND(Versiones!BU1,"AAAAAF7+/tA=")</f>
        <v>#VALUE!</v>
      </c>
      <c r="HB7" s="123" t="e">
        <f>AND(Versiones!BV1,"AAAAAF7+/tE=")</f>
        <v>#VALUE!</v>
      </c>
      <c r="HC7" s="123" t="e">
        <f>AND(Versiones!BW1,"AAAAAF7+/tI=")</f>
        <v>#VALUE!</v>
      </c>
      <c r="HD7" s="123" t="e">
        <f>AND(Versiones!BX1,"AAAAAF7+/tM=")</f>
        <v>#VALUE!</v>
      </c>
      <c r="HE7" s="123" t="e">
        <f>AND(Versiones!BY1,"AAAAAF7+/tQ=")</f>
        <v>#VALUE!</v>
      </c>
      <c r="HF7" s="123" t="e">
        <f>AND(Versiones!BZ1,"AAAAAF7+/tU=")</f>
        <v>#VALUE!</v>
      </c>
      <c r="HG7" s="123" t="e">
        <f>AND(Versiones!CA1,"AAAAAF7+/tY=")</f>
        <v>#VALUE!</v>
      </c>
      <c r="HH7" s="123" t="e">
        <f>AND(Versiones!CB1,"AAAAAF7+/tc=")</f>
        <v>#VALUE!</v>
      </c>
      <c r="HI7" s="123" t="e">
        <f>AND(Versiones!CC1,"AAAAAF7+/tg=")</f>
        <v>#VALUE!</v>
      </c>
      <c r="HJ7" s="123" t="e">
        <f>AND(Versiones!CD1,"AAAAAF7+/tk=")</f>
        <v>#VALUE!</v>
      </c>
      <c r="HK7" s="123" t="e">
        <f>AND(Versiones!CE1,"AAAAAF7+/to=")</f>
        <v>#VALUE!</v>
      </c>
      <c r="HL7" s="123" t="e">
        <f>AND(Versiones!CF1,"AAAAAF7+/ts=")</f>
        <v>#VALUE!</v>
      </c>
      <c r="HM7" s="123" t="e">
        <f>AND(Versiones!CG1,"AAAAAF7+/tw=")</f>
        <v>#VALUE!</v>
      </c>
      <c r="HN7" s="123" t="e">
        <f>AND(Versiones!CH1,"AAAAAF7+/t0=")</f>
        <v>#VALUE!</v>
      </c>
      <c r="HO7" s="123" t="e">
        <f>AND(Versiones!CI1,"AAAAAF7+/t4=")</f>
        <v>#VALUE!</v>
      </c>
      <c r="HP7" s="123" t="e">
        <f>AND(Versiones!CJ1,"AAAAAF7+/t8=")</f>
        <v>#VALUE!</v>
      </c>
      <c r="HQ7" s="123" t="e">
        <f>AND(Versiones!CK1,"AAAAAF7+/uA=")</f>
        <v>#VALUE!</v>
      </c>
      <c r="HR7" s="123" t="e">
        <f>AND(Versiones!CL1,"AAAAAF7+/uE=")</f>
        <v>#VALUE!</v>
      </c>
      <c r="HS7" s="123" t="e">
        <f>AND(Versiones!CM1,"AAAAAF7+/uI=")</f>
        <v>#VALUE!</v>
      </c>
      <c r="HT7" s="123" t="e">
        <f>AND(Versiones!CN1,"AAAAAF7+/uM=")</f>
        <v>#VALUE!</v>
      </c>
      <c r="HU7" s="123" t="e">
        <f>AND(Versiones!CO1,"AAAAAF7+/uQ=")</f>
        <v>#VALUE!</v>
      </c>
      <c r="HV7" s="123" t="e">
        <f>AND(Versiones!CP1,"AAAAAF7+/uU=")</f>
        <v>#VALUE!</v>
      </c>
      <c r="HW7" s="123" t="e">
        <f>AND(Versiones!CQ1,"AAAAAF7+/uY=")</f>
        <v>#VALUE!</v>
      </c>
      <c r="HX7" s="123" t="e">
        <f>AND(Versiones!CR1,"AAAAAF7+/uc=")</f>
        <v>#VALUE!</v>
      </c>
      <c r="HY7" s="123" t="e">
        <f>AND(Versiones!CS1,"AAAAAF7+/ug=")</f>
        <v>#VALUE!</v>
      </c>
      <c r="HZ7" s="123" t="e">
        <f>AND(Versiones!CT1,"AAAAAF7+/uk=")</f>
        <v>#VALUE!</v>
      </c>
      <c r="IA7" s="123" t="e">
        <f>AND(Versiones!CU1,"AAAAAF7+/uo=")</f>
        <v>#VALUE!</v>
      </c>
      <c r="IB7" s="123" t="e">
        <f>AND(Versiones!CV1,"AAAAAF7+/us=")</f>
        <v>#VALUE!</v>
      </c>
      <c r="IC7" s="123" t="e">
        <f>AND(Versiones!CW1,"AAAAAF7+/uw=")</f>
        <v>#VALUE!</v>
      </c>
      <c r="ID7" s="123" t="e">
        <f>AND(Versiones!CX1,"AAAAAF7+/u0=")</f>
        <v>#VALUE!</v>
      </c>
      <c r="IE7" s="123" t="e">
        <f>AND(Versiones!CY1,"AAAAAF7+/u4=")</f>
        <v>#VALUE!</v>
      </c>
      <c r="IF7" s="123" t="e">
        <f>AND(Versiones!CZ1,"AAAAAF7+/u8=")</f>
        <v>#VALUE!</v>
      </c>
      <c r="IG7" s="123" t="e">
        <f>AND(Versiones!DA1,"AAAAAF7+/vA=")</f>
        <v>#VALUE!</v>
      </c>
      <c r="IH7" s="123" t="e">
        <f>AND(Versiones!DB1,"AAAAAF7+/vE=")</f>
        <v>#VALUE!</v>
      </c>
      <c r="II7" s="123" t="e">
        <f>AND(Versiones!DC1,"AAAAAF7+/vI=")</f>
        <v>#VALUE!</v>
      </c>
      <c r="IJ7" s="123" t="e">
        <f>AND(Versiones!DD1,"AAAAAF7+/vM=")</f>
        <v>#VALUE!</v>
      </c>
      <c r="IK7" s="123" t="e">
        <f>AND(Versiones!DE1,"AAAAAF7+/vQ=")</f>
        <v>#VALUE!</v>
      </c>
      <c r="IL7" s="123" t="e">
        <f>AND(Versiones!DF1,"AAAAAF7+/vU=")</f>
        <v>#VALUE!</v>
      </c>
      <c r="IM7" s="123" t="e">
        <f>AND(Versiones!DG1,"AAAAAF7+/vY=")</f>
        <v>#VALUE!</v>
      </c>
      <c r="IN7" s="123" t="e">
        <f>AND(Versiones!DH1,"AAAAAF7+/vc=")</f>
        <v>#VALUE!</v>
      </c>
      <c r="IO7" s="123" t="e">
        <f>AND(Versiones!DI1,"AAAAAF7+/vg=")</f>
        <v>#VALUE!</v>
      </c>
      <c r="IP7" s="123" t="e">
        <f>AND(Versiones!DJ1,"AAAAAF7+/vk=")</f>
        <v>#VALUE!</v>
      </c>
      <c r="IQ7" s="123" t="e">
        <f>AND(Versiones!DK1,"AAAAAF7+/vo=")</f>
        <v>#VALUE!</v>
      </c>
      <c r="IR7" s="123" t="e">
        <f>AND(Versiones!DL1,"AAAAAF7+/vs=")</f>
        <v>#VALUE!</v>
      </c>
      <c r="IS7" s="123" t="e">
        <f>AND(Versiones!DM1,"AAAAAF7+/vw=")</f>
        <v>#VALUE!</v>
      </c>
      <c r="IT7" s="123" t="e">
        <f>AND(Versiones!DN1,"AAAAAF7+/v0=")</f>
        <v>#VALUE!</v>
      </c>
      <c r="IU7" s="123" t="e">
        <f>AND(Versiones!DO1,"AAAAAF7+/v4=")</f>
        <v>#VALUE!</v>
      </c>
      <c r="IV7" s="123" t="e">
        <f>AND(Versiones!DP1,"AAAAAF7+/v8=")</f>
        <v>#VALUE!</v>
      </c>
    </row>
    <row r="8" spans="1:256" ht="14.4">
      <c r="A8" s="123" t="e">
        <f>AND(Versiones!DQ1,"AAAAAH33/wA=")</f>
        <v>#VALUE!</v>
      </c>
      <c r="B8" s="123" t="e">
        <f>AND(Versiones!DR1,"AAAAAH33/wE=")</f>
        <v>#VALUE!</v>
      </c>
      <c r="C8" s="123" t="e">
        <f>AND(Versiones!DS1,"AAAAAH33/wI=")</f>
        <v>#VALUE!</v>
      </c>
      <c r="D8" s="123" t="e">
        <f>AND(Versiones!DT1,"AAAAAH33/wM=")</f>
        <v>#VALUE!</v>
      </c>
      <c r="E8" s="123" t="e">
        <f>AND(Versiones!DU1,"AAAAAH33/wQ=")</f>
        <v>#VALUE!</v>
      </c>
      <c r="F8" s="123" t="e">
        <f>AND(Versiones!DV1,"AAAAAH33/wU=")</f>
        <v>#VALUE!</v>
      </c>
      <c r="G8" s="123" t="e">
        <f>AND(Versiones!DW1,"AAAAAH33/wY=")</f>
        <v>#VALUE!</v>
      </c>
      <c r="H8" s="123" t="e">
        <f>AND(Versiones!DX1,"AAAAAH33/wc=")</f>
        <v>#VALUE!</v>
      </c>
      <c r="I8" s="123" t="e">
        <f>AND(Versiones!DY1,"AAAAAH33/wg=")</f>
        <v>#VALUE!</v>
      </c>
      <c r="J8" s="123" t="e">
        <f>AND(Versiones!DZ1,"AAAAAH33/wk=")</f>
        <v>#VALUE!</v>
      </c>
      <c r="K8" s="123" t="e">
        <f>AND(Versiones!EA1,"AAAAAH33/wo=")</f>
        <v>#VALUE!</v>
      </c>
      <c r="L8" s="123" t="e">
        <f>AND(Versiones!EB1,"AAAAAH33/ws=")</f>
        <v>#VALUE!</v>
      </c>
      <c r="M8" s="123" t="e">
        <f>AND(Versiones!EC1,"AAAAAH33/ww=")</f>
        <v>#VALUE!</v>
      </c>
      <c r="N8" s="123" t="e">
        <f>AND(Versiones!ED1,"AAAAAH33/w0=")</f>
        <v>#VALUE!</v>
      </c>
      <c r="O8" s="123" t="e">
        <f>AND(Versiones!EE1,"AAAAAH33/w4=")</f>
        <v>#VALUE!</v>
      </c>
      <c r="P8" s="123" t="e">
        <f>AND(Versiones!EF1,"AAAAAH33/w8=")</f>
        <v>#VALUE!</v>
      </c>
      <c r="Q8" s="123" t="e">
        <f>AND(Versiones!EG1,"AAAAAH33/xA=")</f>
        <v>#VALUE!</v>
      </c>
      <c r="R8" s="123" t="e">
        <f>AND(Versiones!EH1,"AAAAAH33/xE=")</f>
        <v>#VALUE!</v>
      </c>
      <c r="S8" s="123" t="e">
        <f>AND(Versiones!EI1,"AAAAAH33/xI=")</f>
        <v>#VALUE!</v>
      </c>
      <c r="T8" s="123" t="e">
        <f>AND(Versiones!EJ1,"AAAAAH33/xM=")</f>
        <v>#VALUE!</v>
      </c>
      <c r="U8" s="123" t="e">
        <f>AND(Versiones!EK1,"AAAAAH33/xQ=")</f>
        <v>#VALUE!</v>
      </c>
      <c r="V8" s="123" t="e">
        <f>AND(Versiones!EL1,"AAAAAH33/xU=")</f>
        <v>#VALUE!</v>
      </c>
      <c r="W8" s="123" t="e">
        <f>AND(Versiones!EM1,"AAAAAH33/xY=")</f>
        <v>#VALUE!</v>
      </c>
      <c r="X8" s="123" t="e">
        <f>AND(Versiones!EN1,"AAAAAH33/xc=")</f>
        <v>#VALUE!</v>
      </c>
      <c r="Y8" s="123" t="e">
        <f>AND(Versiones!EO1,"AAAAAH33/xg=")</f>
        <v>#VALUE!</v>
      </c>
      <c r="Z8" s="123" t="e">
        <f>AND(Versiones!EP1,"AAAAAH33/xk=")</f>
        <v>#VALUE!</v>
      </c>
      <c r="AA8" s="123" t="e">
        <f>AND(Versiones!EQ1,"AAAAAH33/xo=")</f>
        <v>#VALUE!</v>
      </c>
      <c r="AB8" s="123" t="e">
        <f>AND(Versiones!ER1,"AAAAAH33/xs=")</f>
        <v>#VALUE!</v>
      </c>
      <c r="AC8" s="123" t="e">
        <f>AND(Versiones!ES1,"AAAAAH33/xw=")</f>
        <v>#VALUE!</v>
      </c>
      <c r="AD8" s="123" t="e">
        <f>AND(Versiones!ET1,"AAAAAH33/x0=")</f>
        <v>#VALUE!</v>
      </c>
      <c r="AE8" s="123" t="e">
        <f>AND(Versiones!EU1,"AAAAAH33/x4=")</f>
        <v>#VALUE!</v>
      </c>
      <c r="AF8" s="123" t="e">
        <f>AND(Versiones!EV1,"AAAAAH33/x8=")</f>
        <v>#VALUE!</v>
      </c>
      <c r="AG8" s="123" t="e">
        <f>AND(Versiones!EW1,"AAAAAH33/yA=")</f>
        <v>#VALUE!</v>
      </c>
      <c r="AH8" s="123" t="e">
        <f>AND(Versiones!EX1,"AAAAAH33/yE=")</f>
        <v>#VALUE!</v>
      </c>
      <c r="AI8" s="123" t="e">
        <f>AND(Versiones!EY1,"AAAAAH33/yI=")</f>
        <v>#VALUE!</v>
      </c>
      <c r="AJ8" s="123" t="e">
        <f>AND(Versiones!EZ1,"AAAAAH33/yM=")</f>
        <v>#VALUE!</v>
      </c>
      <c r="AK8" s="123" t="e">
        <f>AND(Versiones!FA1,"AAAAAH33/yQ=")</f>
        <v>#VALUE!</v>
      </c>
      <c r="AL8" s="123" t="e">
        <f>AND(Versiones!FB1,"AAAAAH33/yU=")</f>
        <v>#VALUE!</v>
      </c>
      <c r="AM8" s="123" t="e">
        <f>AND(Versiones!FC1,"AAAAAH33/yY=")</f>
        <v>#VALUE!</v>
      </c>
      <c r="AN8" s="123" t="e">
        <f>AND(Versiones!FD1,"AAAAAH33/yc=")</f>
        <v>#VALUE!</v>
      </c>
      <c r="AO8" s="123" t="e">
        <f>AND(Versiones!FE1,"AAAAAH33/yg=")</f>
        <v>#VALUE!</v>
      </c>
      <c r="AP8" s="123" t="e">
        <f>AND(Versiones!FF1,"AAAAAH33/yk=")</f>
        <v>#VALUE!</v>
      </c>
      <c r="AQ8" s="123" t="e">
        <f>AND(Versiones!FG1,"AAAAAH33/yo=")</f>
        <v>#VALUE!</v>
      </c>
      <c r="AR8" s="123" t="e">
        <f>AND(Versiones!FH1,"AAAAAH33/ys=")</f>
        <v>#VALUE!</v>
      </c>
      <c r="AS8" s="123" t="e">
        <f>AND(Versiones!FI1,"AAAAAH33/yw=")</f>
        <v>#VALUE!</v>
      </c>
      <c r="AT8" s="123" t="e">
        <f>AND(Versiones!FJ1,"AAAAAH33/y0=")</f>
        <v>#VALUE!</v>
      </c>
      <c r="AU8" s="123" t="e">
        <f>AND(Versiones!FK1,"AAAAAH33/y4=")</f>
        <v>#VALUE!</v>
      </c>
      <c r="AV8" s="123" t="e">
        <f>AND(Versiones!FL1,"AAAAAH33/y8=")</f>
        <v>#VALUE!</v>
      </c>
      <c r="AW8" s="123" t="e">
        <f>AND(Versiones!FM1,"AAAAAH33/zA=")</f>
        <v>#VALUE!</v>
      </c>
      <c r="AX8" s="123" t="e">
        <f>AND(Versiones!FN1,"AAAAAH33/zE=")</f>
        <v>#VALUE!</v>
      </c>
      <c r="AY8" s="123" t="e">
        <f>AND(Versiones!FO1,"AAAAAH33/zI=")</f>
        <v>#VALUE!</v>
      </c>
      <c r="AZ8" s="123" t="e">
        <f>AND(Versiones!FP1,"AAAAAH33/zM=")</f>
        <v>#VALUE!</v>
      </c>
      <c r="BA8" s="123" t="e">
        <f>AND(Versiones!FQ1,"AAAAAH33/zQ=")</f>
        <v>#VALUE!</v>
      </c>
      <c r="BB8" s="123" t="e">
        <f>AND(Versiones!FR1,"AAAAAH33/zU=")</f>
        <v>#VALUE!</v>
      </c>
      <c r="BC8" s="123" t="e">
        <f>AND(Versiones!FS1,"AAAAAH33/zY=")</f>
        <v>#VALUE!</v>
      </c>
      <c r="BD8" s="123" t="e">
        <f>AND(Versiones!FT1,"AAAAAH33/zc=")</f>
        <v>#VALUE!</v>
      </c>
      <c r="BE8" s="123" t="e">
        <f>AND(Versiones!FU1,"AAAAAH33/zg=")</f>
        <v>#VALUE!</v>
      </c>
      <c r="BF8" s="123" t="e">
        <f>AND(Versiones!FV1,"AAAAAH33/zk=")</f>
        <v>#VALUE!</v>
      </c>
      <c r="BG8" s="123" t="e">
        <f>AND(Versiones!FW1,"AAAAAH33/zo=")</f>
        <v>#VALUE!</v>
      </c>
      <c r="BH8" s="123" t="e">
        <f>AND(Versiones!FX1,"AAAAAH33/zs=")</f>
        <v>#VALUE!</v>
      </c>
      <c r="BI8" s="123" t="e">
        <f>AND(Versiones!FY1,"AAAAAH33/zw=")</f>
        <v>#VALUE!</v>
      </c>
      <c r="BJ8" s="123" t="e">
        <f>AND(Versiones!FZ1,"AAAAAH33/z0=")</f>
        <v>#VALUE!</v>
      </c>
      <c r="BK8" s="123" t="e">
        <f>AND(Versiones!GA1,"AAAAAH33/z4=")</f>
        <v>#VALUE!</v>
      </c>
      <c r="BL8" s="123" t="e">
        <f>AND(Versiones!GB1,"AAAAAH33/z8=")</f>
        <v>#VALUE!</v>
      </c>
      <c r="BM8" s="123" t="e">
        <f>AND(Versiones!GC1,"AAAAAH33/0A=")</f>
        <v>#VALUE!</v>
      </c>
      <c r="BN8" s="123" t="e">
        <f>AND(Versiones!GD1,"AAAAAH33/0E=")</f>
        <v>#VALUE!</v>
      </c>
      <c r="BO8" s="123" t="e">
        <f>AND(Versiones!GE1,"AAAAAH33/0I=")</f>
        <v>#VALUE!</v>
      </c>
      <c r="BP8" s="123" t="e">
        <f>AND(Versiones!GF1,"AAAAAH33/0M=")</f>
        <v>#VALUE!</v>
      </c>
      <c r="BQ8" s="123" t="e">
        <f>AND(Versiones!GG1,"AAAAAH33/0Q=")</f>
        <v>#VALUE!</v>
      </c>
      <c r="BR8" s="123" t="e">
        <f>AND(Versiones!GH1,"AAAAAH33/0U=")</f>
        <v>#VALUE!</v>
      </c>
      <c r="BS8" s="123" t="e">
        <f>AND(Versiones!GI1,"AAAAAH33/0Y=")</f>
        <v>#VALUE!</v>
      </c>
      <c r="BT8" s="123" t="e">
        <f>AND(Versiones!GJ1,"AAAAAH33/0c=")</f>
        <v>#VALUE!</v>
      </c>
      <c r="BU8" s="123" t="e">
        <f>AND(Versiones!GK1,"AAAAAH33/0g=")</f>
        <v>#VALUE!</v>
      </c>
      <c r="BV8" s="123" t="e">
        <f>AND(Versiones!GL1,"AAAAAH33/0k=")</f>
        <v>#VALUE!</v>
      </c>
      <c r="BW8" s="123" t="e">
        <f>AND(Versiones!GM1,"AAAAAH33/0o=")</f>
        <v>#VALUE!</v>
      </c>
      <c r="BX8" s="123" t="e">
        <f>AND(Versiones!GN1,"AAAAAH33/0s=")</f>
        <v>#VALUE!</v>
      </c>
      <c r="BY8" s="123" t="e">
        <f>AND(Versiones!GO1,"AAAAAH33/0w=")</f>
        <v>#VALUE!</v>
      </c>
      <c r="BZ8" s="123" t="e">
        <f>AND(Versiones!GP1,"AAAAAH33/00=")</f>
        <v>#VALUE!</v>
      </c>
      <c r="CA8" s="123" t="e">
        <f>AND(Versiones!GQ1,"AAAAAH33/04=")</f>
        <v>#VALUE!</v>
      </c>
      <c r="CB8" s="123" t="e">
        <f>AND(Versiones!GR1,"AAAAAH33/08=")</f>
        <v>#VALUE!</v>
      </c>
      <c r="CC8" s="123" t="e">
        <f>AND(Versiones!GS1,"AAAAAH33/1A=")</f>
        <v>#VALUE!</v>
      </c>
      <c r="CD8" s="123" t="e">
        <f>AND(Versiones!GT1,"AAAAAH33/1E=")</f>
        <v>#VALUE!</v>
      </c>
      <c r="CE8" s="123" t="e">
        <f>AND(Versiones!GU1,"AAAAAH33/1I=")</f>
        <v>#VALUE!</v>
      </c>
      <c r="CF8" s="123" t="e">
        <f>AND(Versiones!GV1,"AAAAAH33/1M=")</f>
        <v>#VALUE!</v>
      </c>
      <c r="CG8" s="123" t="e">
        <f>AND(Versiones!GW1,"AAAAAH33/1Q=")</f>
        <v>#VALUE!</v>
      </c>
      <c r="CH8" s="123" t="e">
        <f>AND(Versiones!GX1,"AAAAAH33/1U=")</f>
        <v>#VALUE!</v>
      </c>
      <c r="CI8" s="123" t="e">
        <f>AND(Versiones!GY1,"AAAAAH33/1Y=")</f>
        <v>#VALUE!</v>
      </c>
      <c r="CJ8" s="123" t="e">
        <f>AND(Versiones!GZ1,"AAAAAH33/1c=")</f>
        <v>#VALUE!</v>
      </c>
      <c r="CK8" s="123" t="e">
        <f>AND(Versiones!HA1,"AAAAAH33/1g=")</f>
        <v>#VALUE!</v>
      </c>
      <c r="CL8" s="123" t="e">
        <f>AND(Versiones!HB1,"AAAAAH33/1k=")</f>
        <v>#VALUE!</v>
      </c>
      <c r="CM8" s="123" t="e">
        <f>AND(Versiones!HC1,"AAAAAH33/1o=")</f>
        <v>#VALUE!</v>
      </c>
      <c r="CN8" s="123" t="e">
        <f>AND(Versiones!HD1,"AAAAAH33/1s=")</f>
        <v>#VALUE!</v>
      </c>
      <c r="CO8" s="123" t="e">
        <f>AND(Versiones!HE1,"AAAAAH33/1w=")</f>
        <v>#VALUE!</v>
      </c>
      <c r="CP8" s="123" t="e">
        <f>AND(Versiones!HF1,"AAAAAH33/10=")</f>
        <v>#VALUE!</v>
      </c>
      <c r="CQ8" s="123" t="e">
        <f>AND(Versiones!HG1,"AAAAAH33/14=")</f>
        <v>#VALUE!</v>
      </c>
      <c r="CR8" s="123" t="e">
        <f>AND(Versiones!HH1,"AAAAAH33/18=")</f>
        <v>#VALUE!</v>
      </c>
      <c r="CS8" s="123" t="e">
        <f>AND(Versiones!HI1,"AAAAAH33/2A=")</f>
        <v>#VALUE!</v>
      </c>
      <c r="CT8" s="123">
        <f>IF(Versiones!2:2,"AAAAAH33/2E=",0)</f>
        <v>0</v>
      </c>
      <c r="CU8" s="123" t="e">
        <f>AND(Versiones!A2,"AAAAAH33/2I=")</f>
        <v>#VALUE!</v>
      </c>
      <c r="CV8" s="123" t="e">
        <f>AND(Versiones!B2,"AAAAAH33/2M=")</f>
        <v>#VALUE!</v>
      </c>
      <c r="CW8" s="123" t="e">
        <f>AND(Versiones!C2,"AAAAAH33/2Q=")</f>
        <v>#VALUE!</v>
      </c>
      <c r="CX8" s="123" t="e">
        <f>AND(Versiones!D2,"AAAAAH33/2U=")</f>
        <v>#VALUE!</v>
      </c>
      <c r="CY8" s="123" t="e">
        <f>AND(Versiones!E2,"AAAAAH33/2Y=")</f>
        <v>#VALUE!</v>
      </c>
      <c r="CZ8" s="123" t="e">
        <f>AND(Versiones!F2,"AAAAAH33/2c=")</f>
        <v>#VALUE!</v>
      </c>
      <c r="DA8" s="123" t="e">
        <f>AND(Versiones!#REF!,"AAAAAH33/2g=")</f>
        <v>#REF!</v>
      </c>
      <c r="DB8" s="123" t="e">
        <f>AND(Versiones!G2,"AAAAAH33/2k=")</f>
        <v>#VALUE!</v>
      </c>
      <c r="DC8" s="123" t="e">
        <f>AND(Versiones!H2,"AAAAAH33/2o=")</f>
        <v>#VALUE!</v>
      </c>
      <c r="DD8" s="123" t="e">
        <f>AND(Versiones!I2,"AAAAAH33/2s=")</f>
        <v>#VALUE!</v>
      </c>
      <c r="DE8" s="123" t="e">
        <f>AND(Versiones!J2,"AAAAAH33/2w=")</f>
        <v>#VALUE!</v>
      </c>
      <c r="DF8" s="123" t="e">
        <f>AND(Versiones!K2,"AAAAAH33/20=")</f>
        <v>#VALUE!</v>
      </c>
      <c r="DG8" s="123" t="e">
        <f>AND(Versiones!L2,"AAAAAH33/24=")</f>
        <v>#VALUE!</v>
      </c>
      <c r="DH8" s="123" t="e">
        <f>AND(Versiones!M2,"AAAAAH33/28=")</f>
        <v>#VALUE!</v>
      </c>
      <c r="DI8" s="123" t="e">
        <f>AND(Versiones!N2,"AAAAAH33/3A=")</f>
        <v>#VALUE!</v>
      </c>
      <c r="DJ8" s="123" t="e">
        <f>AND(Versiones!O2,"AAAAAH33/3E=")</f>
        <v>#VALUE!</v>
      </c>
      <c r="DK8" s="123" t="e">
        <f>AND(Versiones!P2,"AAAAAH33/3I=")</f>
        <v>#VALUE!</v>
      </c>
      <c r="DL8" s="123" t="e">
        <f>AND(Versiones!Q2,"AAAAAH33/3M=")</f>
        <v>#VALUE!</v>
      </c>
      <c r="DM8" s="123" t="e">
        <f>AND(Versiones!R2,"AAAAAH33/3Q=")</f>
        <v>#VALUE!</v>
      </c>
      <c r="DN8" s="123" t="e">
        <f>AND(Versiones!S2,"AAAAAH33/3U=")</f>
        <v>#VALUE!</v>
      </c>
      <c r="DO8" s="123" t="e">
        <f>AND(Versiones!T2,"AAAAAH33/3Y=")</f>
        <v>#VALUE!</v>
      </c>
      <c r="DP8" s="123" t="e">
        <f>AND(Versiones!U2,"AAAAAH33/3c=")</f>
        <v>#VALUE!</v>
      </c>
      <c r="DQ8" s="123" t="e">
        <f>AND(Versiones!V2,"AAAAAH33/3g=")</f>
        <v>#VALUE!</v>
      </c>
      <c r="DR8" s="123" t="e">
        <f>AND(Versiones!W2,"AAAAAH33/3k=")</f>
        <v>#VALUE!</v>
      </c>
      <c r="DS8" s="123" t="e">
        <f>AND(Versiones!X2,"AAAAAH33/3o=")</f>
        <v>#VALUE!</v>
      </c>
      <c r="DT8" s="123" t="e">
        <f>AND(Versiones!Y2,"AAAAAH33/3s=")</f>
        <v>#VALUE!</v>
      </c>
      <c r="DU8" s="123" t="e">
        <f>AND(Versiones!Z2,"AAAAAH33/3w=")</f>
        <v>#VALUE!</v>
      </c>
      <c r="DV8" s="123" t="e">
        <f>AND(Versiones!AA2,"AAAAAH33/30=")</f>
        <v>#VALUE!</v>
      </c>
      <c r="DW8" s="123" t="e">
        <f>AND(Versiones!AB2,"AAAAAH33/34=")</f>
        <v>#VALUE!</v>
      </c>
      <c r="DX8" s="123" t="e">
        <f>AND(Versiones!AC2,"AAAAAH33/38=")</f>
        <v>#VALUE!</v>
      </c>
      <c r="DY8" s="123" t="e">
        <f>AND(Versiones!AD2,"AAAAAH33/4A=")</f>
        <v>#VALUE!</v>
      </c>
      <c r="DZ8" s="123" t="e">
        <f>AND(Versiones!AE2,"AAAAAH33/4E=")</f>
        <v>#VALUE!</v>
      </c>
      <c r="EA8" s="123" t="e">
        <f>AND(Versiones!AF2,"AAAAAH33/4I=")</f>
        <v>#VALUE!</v>
      </c>
      <c r="EB8" s="123" t="e">
        <f>AND(Versiones!AG2,"AAAAAH33/4M=")</f>
        <v>#VALUE!</v>
      </c>
      <c r="EC8" s="123" t="e">
        <f>AND(Versiones!AH2,"AAAAAH33/4Q=")</f>
        <v>#VALUE!</v>
      </c>
      <c r="ED8" s="123" t="e">
        <f>AND(Versiones!AI2,"AAAAAH33/4U=")</f>
        <v>#VALUE!</v>
      </c>
      <c r="EE8" s="123" t="e">
        <f>AND(Versiones!AJ2,"AAAAAH33/4Y=")</f>
        <v>#VALUE!</v>
      </c>
      <c r="EF8" s="123" t="e">
        <f>AND(Versiones!AK2,"AAAAAH33/4c=")</f>
        <v>#VALUE!</v>
      </c>
      <c r="EG8" s="123" t="e">
        <f>AND(Versiones!AL2,"AAAAAH33/4g=")</f>
        <v>#VALUE!</v>
      </c>
      <c r="EH8" s="123" t="e">
        <f>AND(Versiones!AM2,"AAAAAH33/4k=")</f>
        <v>#VALUE!</v>
      </c>
      <c r="EI8" s="123" t="e">
        <f>AND(Versiones!AN2,"AAAAAH33/4o=")</f>
        <v>#VALUE!</v>
      </c>
      <c r="EJ8" s="123" t="e">
        <f>AND(Versiones!AO2,"AAAAAH33/4s=")</f>
        <v>#VALUE!</v>
      </c>
      <c r="EK8" s="123" t="e">
        <f>AND(Versiones!AP2,"AAAAAH33/4w=")</f>
        <v>#VALUE!</v>
      </c>
      <c r="EL8" s="123" t="e">
        <f>AND(Versiones!AQ2,"AAAAAH33/40=")</f>
        <v>#VALUE!</v>
      </c>
      <c r="EM8" s="123" t="e">
        <f>AND(Versiones!AR2,"AAAAAH33/44=")</f>
        <v>#VALUE!</v>
      </c>
      <c r="EN8" s="123" t="e">
        <f>AND(Versiones!AS2,"AAAAAH33/48=")</f>
        <v>#VALUE!</v>
      </c>
      <c r="EO8" s="123" t="e">
        <f>AND(Versiones!AT2,"AAAAAH33/5A=")</f>
        <v>#VALUE!</v>
      </c>
      <c r="EP8" s="123" t="e">
        <f>AND(Versiones!AU2,"AAAAAH33/5E=")</f>
        <v>#VALUE!</v>
      </c>
      <c r="EQ8" s="123" t="e">
        <f>AND(Versiones!AV2,"AAAAAH33/5I=")</f>
        <v>#VALUE!</v>
      </c>
      <c r="ER8" s="123" t="e">
        <f>AND(Versiones!AW2,"AAAAAH33/5M=")</f>
        <v>#VALUE!</v>
      </c>
      <c r="ES8" s="123" t="e">
        <f>AND(Versiones!AX2,"AAAAAH33/5Q=")</f>
        <v>#VALUE!</v>
      </c>
      <c r="ET8" s="123" t="e">
        <f>AND(Versiones!AY2,"AAAAAH33/5U=")</f>
        <v>#VALUE!</v>
      </c>
      <c r="EU8" s="123" t="e">
        <f>AND(Versiones!AZ2,"AAAAAH33/5Y=")</f>
        <v>#VALUE!</v>
      </c>
      <c r="EV8" s="123" t="e">
        <f>AND(Versiones!BA2,"AAAAAH33/5c=")</f>
        <v>#VALUE!</v>
      </c>
      <c r="EW8" s="123" t="e">
        <f>AND(Versiones!BB2,"AAAAAH33/5g=")</f>
        <v>#VALUE!</v>
      </c>
      <c r="EX8" s="123" t="e">
        <f>AND(Versiones!BC2,"AAAAAH33/5k=")</f>
        <v>#VALUE!</v>
      </c>
      <c r="EY8" s="123" t="e">
        <f>AND(Versiones!BD2,"AAAAAH33/5o=")</f>
        <v>#VALUE!</v>
      </c>
      <c r="EZ8" s="123" t="e">
        <f>AND(Versiones!BE2,"AAAAAH33/5s=")</f>
        <v>#VALUE!</v>
      </c>
      <c r="FA8" s="123" t="e">
        <f>AND(Versiones!BF2,"AAAAAH33/5w=")</f>
        <v>#VALUE!</v>
      </c>
      <c r="FB8" s="123" t="e">
        <f>AND(Versiones!BG2,"AAAAAH33/50=")</f>
        <v>#VALUE!</v>
      </c>
      <c r="FC8" s="123" t="e">
        <f>AND(Versiones!BH2,"AAAAAH33/54=")</f>
        <v>#VALUE!</v>
      </c>
      <c r="FD8" s="123" t="e">
        <f>AND(Versiones!BI2,"AAAAAH33/58=")</f>
        <v>#VALUE!</v>
      </c>
      <c r="FE8" s="123" t="e">
        <f>AND(Versiones!BJ2,"AAAAAH33/6A=")</f>
        <v>#VALUE!</v>
      </c>
      <c r="FF8" s="123" t="e">
        <f>AND(Versiones!BK2,"AAAAAH33/6E=")</f>
        <v>#VALUE!</v>
      </c>
      <c r="FG8" s="123" t="e">
        <f>AND(Versiones!BL2,"AAAAAH33/6I=")</f>
        <v>#VALUE!</v>
      </c>
      <c r="FH8" s="123" t="e">
        <f>AND(Versiones!BM2,"AAAAAH33/6M=")</f>
        <v>#VALUE!</v>
      </c>
      <c r="FI8" s="123" t="e">
        <f>AND(Versiones!BN2,"AAAAAH33/6Q=")</f>
        <v>#VALUE!</v>
      </c>
      <c r="FJ8" s="123" t="e">
        <f>AND(Versiones!BO2,"AAAAAH33/6U=")</f>
        <v>#VALUE!</v>
      </c>
      <c r="FK8" s="123" t="e">
        <f>AND(Versiones!BP2,"AAAAAH33/6Y=")</f>
        <v>#VALUE!</v>
      </c>
      <c r="FL8" s="123" t="e">
        <f>AND(Versiones!BQ2,"AAAAAH33/6c=")</f>
        <v>#VALUE!</v>
      </c>
      <c r="FM8" s="123" t="e">
        <f>AND(Versiones!BR2,"AAAAAH33/6g=")</f>
        <v>#VALUE!</v>
      </c>
      <c r="FN8" s="123" t="e">
        <f>AND(Versiones!BS2,"AAAAAH33/6k=")</f>
        <v>#VALUE!</v>
      </c>
      <c r="FO8" s="123" t="e">
        <f>AND(Versiones!BT2,"AAAAAH33/6o=")</f>
        <v>#VALUE!</v>
      </c>
      <c r="FP8" s="123" t="e">
        <f>AND(Versiones!BU2,"AAAAAH33/6s=")</f>
        <v>#VALUE!</v>
      </c>
      <c r="FQ8" s="123" t="e">
        <f>AND(Versiones!BV2,"AAAAAH33/6w=")</f>
        <v>#VALUE!</v>
      </c>
      <c r="FR8" s="123" t="e">
        <f>AND(Versiones!BW2,"AAAAAH33/60=")</f>
        <v>#VALUE!</v>
      </c>
      <c r="FS8" s="123" t="e">
        <f>AND(Versiones!BX2,"AAAAAH33/64=")</f>
        <v>#VALUE!</v>
      </c>
      <c r="FT8" s="123" t="e">
        <f>AND(Versiones!BY2,"AAAAAH33/68=")</f>
        <v>#VALUE!</v>
      </c>
      <c r="FU8" s="123" t="e">
        <f>AND(Versiones!BZ2,"AAAAAH33/7A=")</f>
        <v>#VALUE!</v>
      </c>
      <c r="FV8" s="123" t="e">
        <f>AND(Versiones!CA2,"AAAAAH33/7E=")</f>
        <v>#VALUE!</v>
      </c>
      <c r="FW8" s="123" t="e">
        <f>AND(Versiones!CB2,"AAAAAH33/7I=")</f>
        <v>#VALUE!</v>
      </c>
      <c r="FX8" s="123" t="e">
        <f>AND(Versiones!CC2,"AAAAAH33/7M=")</f>
        <v>#VALUE!</v>
      </c>
      <c r="FY8" s="123" t="e">
        <f>AND(Versiones!CD2,"AAAAAH33/7Q=")</f>
        <v>#VALUE!</v>
      </c>
      <c r="FZ8" s="123" t="e">
        <f>AND(Versiones!CE2,"AAAAAH33/7U=")</f>
        <v>#VALUE!</v>
      </c>
      <c r="GA8" s="123" t="e">
        <f>AND(Versiones!CF2,"AAAAAH33/7Y=")</f>
        <v>#VALUE!</v>
      </c>
      <c r="GB8" s="123" t="e">
        <f>AND(Versiones!CG2,"AAAAAH33/7c=")</f>
        <v>#VALUE!</v>
      </c>
      <c r="GC8" s="123" t="e">
        <f>AND(Versiones!CH2,"AAAAAH33/7g=")</f>
        <v>#VALUE!</v>
      </c>
      <c r="GD8" s="123" t="e">
        <f>AND(Versiones!CI2,"AAAAAH33/7k=")</f>
        <v>#VALUE!</v>
      </c>
      <c r="GE8" s="123" t="e">
        <f>AND(Versiones!CJ2,"AAAAAH33/7o=")</f>
        <v>#VALUE!</v>
      </c>
      <c r="GF8" s="123" t="e">
        <f>AND(Versiones!CK2,"AAAAAH33/7s=")</f>
        <v>#VALUE!</v>
      </c>
      <c r="GG8" s="123" t="e">
        <f>AND(Versiones!CL2,"AAAAAH33/7w=")</f>
        <v>#VALUE!</v>
      </c>
      <c r="GH8" s="123" t="e">
        <f>AND(Versiones!CM2,"AAAAAH33/70=")</f>
        <v>#VALUE!</v>
      </c>
      <c r="GI8" s="123" t="e">
        <f>AND(Versiones!CN2,"AAAAAH33/74=")</f>
        <v>#VALUE!</v>
      </c>
      <c r="GJ8" s="123" t="e">
        <f>AND(Versiones!CO2,"AAAAAH33/78=")</f>
        <v>#VALUE!</v>
      </c>
      <c r="GK8" s="123" t="e">
        <f>AND(Versiones!CP2,"AAAAAH33/8A=")</f>
        <v>#VALUE!</v>
      </c>
      <c r="GL8" s="123" t="e">
        <f>AND(Versiones!CQ2,"AAAAAH33/8E=")</f>
        <v>#VALUE!</v>
      </c>
      <c r="GM8" s="123" t="e">
        <f>AND(Versiones!CR2,"AAAAAH33/8I=")</f>
        <v>#VALUE!</v>
      </c>
      <c r="GN8" s="123" t="e">
        <f>AND(Versiones!CS2,"AAAAAH33/8M=")</f>
        <v>#VALUE!</v>
      </c>
      <c r="GO8" s="123" t="e">
        <f>AND(Versiones!CT2,"AAAAAH33/8Q=")</f>
        <v>#VALUE!</v>
      </c>
      <c r="GP8" s="123" t="e">
        <f>AND(Versiones!CU2,"AAAAAH33/8U=")</f>
        <v>#VALUE!</v>
      </c>
      <c r="GQ8" s="123" t="e">
        <f>AND(Versiones!CV2,"AAAAAH33/8Y=")</f>
        <v>#VALUE!</v>
      </c>
      <c r="GR8" s="123" t="e">
        <f>AND(Versiones!CW2,"AAAAAH33/8c=")</f>
        <v>#VALUE!</v>
      </c>
      <c r="GS8" s="123" t="e">
        <f>AND(Versiones!CX2,"AAAAAH33/8g=")</f>
        <v>#VALUE!</v>
      </c>
      <c r="GT8" s="123" t="e">
        <f>AND(Versiones!CY2,"AAAAAH33/8k=")</f>
        <v>#VALUE!</v>
      </c>
      <c r="GU8" s="123" t="e">
        <f>AND(Versiones!CZ2,"AAAAAH33/8o=")</f>
        <v>#VALUE!</v>
      </c>
      <c r="GV8" s="123" t="e">
        <f>AND(Versiones!DA2,"AAAAAH33/8s=")</f>
        <v>#VALUE!</v>
      </c>
      <c r="GW8" s="123" t="e">
        <f>AND(Versiones!DB2,"AAAAAH33/8w=")</f>
        <v>#VALUE!</v>
      </c>
      <c r="GX8" s="123" t="e">
        <f>AND(Versiones!DC2,"AAAAAH33/80=")</f>
        <v>#VALUE!</v>
      </c>
      <c r="GY8" s="123" t="e">
        <f>AND(Versiones!DD2,"AAAAAH33/84=")</f>
        <v>#VALUE!</v>
      </c>
      <c r="GZ8" s="123" t="e">
        <f>AND(Versiones!DE2,"AAAAAH33/88=")</f>
        <v>#VALUE!</v>
      </c>
      <c r="HA8" s="123" t="e">
        <f>AND(Versiones!DF2,"AAAAAH33/9A=")</f>
        <v>#VALUE!</v>
      </c>
      <c r="HB8" s="123" t="e">
        <f>AND(Versiones!DG2,"AAAAAH33/9E=")</f>
        <v>#VALUE!</v>
      </c>
      <c r="HC8" s="123" t="e">
        <f>AND(Versiones!DH2,"AAAAAH33/9I=")</f>
        <v>#VALUE!</v>
      </c>
      <c r="HD8" s="123" t="e">
        <f>AND(Versiones!DI2,"AAAAAH33/9M=")</f>
        <v>#VALUE!</v>
      </c>
      <c r="HE8" s="123" t="e">
        <f>AND(Versiones!DJ2,"AAAAAH33/9Q=")</f>
        <v>#VALUE!</v>
      </c>
      <c r="HF8" s="123" t="e">
        <f>AND(Versiones!DK2,"AAAAAH33/9U=")</f>
        <v>#VALUE!</v>
      </c>
      <c r="HG8" s="123" t="e">
        <f>AND(Versiones!DL2,"AAAAAH33/9Y=")</f>
        <v>#VALUE!</v>
      </c>
      <c r="HH8" s="123" t="e">
        <f>AND(Versiones!DM2,"AAAAAH33/9c=")</f>
        <v>#VALUE!</v>
      </c>
      <c r="HI8" s="123" t="e">
        <f>AND(Versiones!DN2,"AAAAAH33/9g=")</f>
        <v>#VALUE!</v>
      </c>
      <c r="HJ8" s="123" t="e">
        <f>AND(Versiones!DO2,"AAAAAH33/9k=")</f>
        <v>#VALUE!</v>
      </c>
      <c r="HK8" s="123" t="e">
        <f>AND(Versiones!DP2,"AAAAAH33/9o=")</f>
        <v>#VALUE!</v>
      </c>
      <c r="HL8" s="123" t="e">
        <f>AND(Versiones!DQ2,"AAAAAH33/9s=")</f>
        <v>#VALUE!</v>
      </c>
      <c r="HM8" s="123" t="e">
        <f>AND(Versiones!DR2,"AAAAAH33/9w=")</f>
        <v>#VALUE!</v>
      </c>
      <c r="HN8" s="123" t="e">
        <f>AND(Versiones!DS2,"AAAAAH33/90=")</f>
        <v>#VALUE!</v>
      </c>
      <c r="HO8" s="123" t="e">
        <f>AND(Versiones!DT2,"AAAAAH33/94=")</f>
        <v>#VALUE!</v>
      </c>
      <c r="HP8" s="123" t="e">
        <f>AND(Versiones!DU2,"AAAAAH33/98=")</f>
        <v>#VALUE!</v>
      </c>
      <c r="HQ8" s="123" t="e">
        <f>AND(Versiones!DV2,"AAAAAH33/+A=")</f>
        <v>#VALUE!</v>
      </c>
      <c r="HR8" s="123" t="e">
        <f>AND(Versiones!DW2,"AAAAAH33/+E=")</f>
        <v>#VALUE!</v>
      </c>
      <c r="HS8" s="123" t="e">
        <f>AND(Versiones!DX2,"AAAAAH33/+I=")</f>
        <v>#VALUE!</v>
      </c>
      <c r="HT8" s="123" t="e">
        <f>AND(Versiones!DY2,"AAAAAH33/+M=")</f>
        <v>#VALUE!</v>
      </c>
      <c r="HU8" s="123" t="e">
        <f>AND(Versiones!DZ2,"AAAAAH33/+Q=")</f>
        <v>#VALUE!</v>
      </c>
      <c r="HV8" s="123" t="e">
        <f>AND(Versiones!EA2,"AAAAAH33/+U=")</f>
        <v>#VALUE!</v>
      </c>
      <c r="HW8" s="123" t="e">
        <f>AND(Versiones!EB2,"AAAAAH33/+Y=")</f>
        <v>#VALUE!</v>
      </c>
      <c r="HX8" s="123" t="e">
        <f>AND(Versiones!EC2,"AAAAAH33/+c=")</f>
        <v>#VALUE!</v>
      </c>
      <c r="HY8" s="123" t="e">
        <f>AND(Versiones!ED2,"AAAAAH33/+g=")</f>
        <v>#VALUE!</v>
      </c>
      <c r="HZ8" s="123" t="e">
        <f>AND(Versiones!EE2,"AAAAAH33/+k=")</f>
        <v>#VALUE!</v>
      </c>
      <c r="IA8" s="123" t="e">
        <f>AND(Versiones!EF2,"AAAAAH33/+o=")</f>
        <v>#VALUE!</v>
      </c>
      <c r="IB8" s="123" t="e">
        <f>AND(Versiones!EG2,"AAAAAH33/+s=")</f>
        <v>#VALUE!</v>
      </c>
      <c r="IC8" s="123" t="e">
        <f>AND(Versiones!EH2,"AAAAAH33/+w=")</f>
        <v>#VALUE!</v>
      </c>
      <c r="ID8" s="123" t="e">
        <f>AND(Versiones!EI2,"AAAAAH33/+0=")</f>
        <v>#VALUE!</v>
      </c>
      <c r="IE8" s="123" t="e">
        <f>AND(Versiones!EJ2,"AAAAAH33/+4=")</f>
        <v>#VALUE!</v>
      </c>
      <c r="IF8" s="123" t="e">
        <f>AND(Versiones!EK2,"AAAAAH33/+8=")</f>
        <v>#VALUE!</v>
      </c>
      <c r="IG8" s="123" t="e">
        <f>AND(Versiones!EL2,"AAAAAH33//A=")</f>
        <v>#VALUE!</v>
      </c>
      <c r="IH8" s="123" t="e">
        <f>AND(Versiones!EM2,"AAAAAH33//E=")</f>
        <v>#VALUE!</v>
      </c>
      <c r="II8" s="123" t="e">
        <f>AND(Versiones!EN2,"AAAAAH33//I=")</f>
        <v>#VALUE!</v>
      </c>
      <c r="IJ8" s="123" t="e">
        <f>AND(Versiones!EO2,"AAAAAH33//M=")</f>
        <v>#VALUE!</v>
      </c>
      <c r="IK8" s="123" t="e">
        <f>AND(Versiones!EP2,"AAAAAH33//Q=")</f>
        <v>#VALUE!</v>
      </c>
      <c r="IL8" s="123" t="e">
        <f>AND(Versiones!EQ2,"AAAAAH33//U=")</f>
        <v>#VALUE!</v>
      </c>
      <c r="IM8" s="123" t="e">
        <f>AND(Versiones!ER2,"AAAAAH33//Y=")</f>
        <v>#VALUE!</v>
      </c>
      <c r="IN8" s="123" t="e">
        <f>AND(Versiones!ES2,"AAAAAH33//c=")</f>
        <v>#VALUE!</v>
      </c>
      <c r="IO8" s="123" t="e">
        <f>AND(Versiones!ET2,"AAAAAH33//g=")</f>
        <v>#VALUE!</v>
      </c>
      <c r="IP8" s="123" t="e">
        <f>AND(Versiones!EU2,"AAAAAH33//k=")</f>
        <v>#VALUE!</v>
      </c>
      <c r="IQ8" s="123" t="e">
        <f>AND(Versiones!EV2,"AAAAAH33//o=")</f>
        <v>#VALUE!</v>
      </c>
      <c r="IR8" s="123" t="e">
        <f>AND(Versiones!EW2,"AAAAAH33//s=")</f>
        <v>#VALUE!</v>
      </c>
      <c r="IS8" s="123" t="e">
        <f>AND(Versiones!EX2,"AAAAAH33//w=")</f>
        <v>#VALUE!</v>
      </c>
      <c r="IT8" s="123" t="e">
        <f>AND(Versiones!EY2,"AAAAAH33//0=")</f>
        <v>#VALUE!</v>
      </c>
      <c r="IU8" s="123" t="e">
        <f>AND(Versiones!EZ2,"AAAAAH33//4=")</f>
        <v>#VALUE!</v>
      </c>
      <c r="IV8" s="123" t="e">
        <f>AND(Versiones!FA2,"AAAAAH33//8=")</f>
        <v>#VALUE!</v>
      </c>
    </row>
    <row r="9" spans="1:256" ht="14.4">
      <c r="A9" s="123" t="e">
        <f>AND(Versiones!FB2,"AAAAAH6PfwA=")</f>
        <v>#VALUE!</v>
      </c>
      <c r="B9" s="123" t="e">
        <f>AND(Versiones!FC2,"AAAAAH6PfwE=")</f>
        <v>#VALUE!</v>
      </c>
      <c r="C9" s="123" t="e">
        <f>AND(Versiones!FD2,"AAAAAH6PfwI=")</f>
        <v>#VALUE!</v>
      </c>
      <c r="D9" s="123" t="e">
        <f>AND(Versiones!FE2,"AAAAAH6PfwM=")</f>
        <v>#VALUE!</v>
      </c>
      <c r="E9" s="123" t="e">
        <f>AND(Versiones!FF2,"AAAAAH6PfwQ=")</f>
        <v>#VALUE!</v>
      </c>
      <c r="F9" s="123" t="e">
        <f>AND(Versiones!FG2,"AAAAAH6PfwU=")</f>
        <v>#VALUE!</v>
      </c>
      <c r="G9" s="123" t="e">
        <f>AND(Versiones!FH2,"AAAAAH6PfwY=")</f>
        <v>#VALUE!</v>
      </c>
      <c r="H9" s="123" t="e">
        <f>AND(Versiones!FI2,"AAAAAH6Pfwc=")</f>
        <v>#VALUE!</v>
      </c>
      <c r="I9" s="123" t="e">
        <f>AND(Versiones!FJ2,"AAAAAH6Pfwg=")</f>
        <v>#VALUE!</v>
      </c>
      <c r="J9" s="123" t="e">
        <f>AND(Versiones!FK2,"AAAAAH6Pfwk=")</f>
        <v>#VALUE!</v>
      </c>
      <c r="K9" s="123" t="e">
        <f>AND(Versiones!FL2,"AAAAAH6Pfwo=")</f>
        <v>#VALUE!</v>
      </c>
      <c r="L9" s="123" t="e">
        <f>AND(Versiones!FM2,"AAAAAH6Pfws=")</f>
        <v>#VALUE!</v>
      </c>
      <c r="M9" s="123" t="e">
        <f>AND(Versiones!FN2,"AAAAAH6Pfww=")</f>
        <v>#VALUE!</v>
      </c>
      <c r="N9" s="123" t="e">
        <f>AND(Versiones!FO2,"AAAAAH6Pfw0=")</f>
        <v>#VALUE!</v>
      </c>
      <c r="O9" s="123" t="e">
        <f>AND(Versiones!FP2,"AAAAAH6Pfw4=")</f>
        <v>#VALUE!</v>
      </c>
      <c r="P9" s="123" t="e">
        <f>AND(Versiones!FQ2,"AAAAAH6Pfw8=")</f>
        <v>#VALUE!</v>
      </c>
      <c r="Q9" s="123" t="e">
        <f>AND(Versiones!FR2,"AAAAAH6PfxA=")</f>
        <v>#VALUE!</v>
      </c>
      <c r="R9" s="123" t="e">
        <f>AND(Versiones!FS2,"AAAAAH6PfxE=")</f>
        <v>#VALUE!</v>
      </c>
      <c r="S9" s="123" t="e">
        <f>AND(Versiones!FT2,"AAAAAH6PfxI=")</f>
        <v>#VALUE!</v>
      </c>
      <c r="T9" s="123" t="e">
        <f>AND(Versiones!FU2,"AAAAAH6PfxM=")</f>
        <v>#VALUE!</v>
      </c>
      <c r="U9" s="123" t="e">
        <f>AND(Versiones!FV2,"AAAAAH6PfxQ=")</f>
        <v>#VALUE!</v>
      </c>
      <c r="V9" s="123" t="e">
        <f>AND(Versiones!FW2,"AAAAAH6PfxU=")</f>
        <v>#VALUE!</v>
      </c>
      <c r="W9" s="123" t="e">
        <f>AND(Versiones!FX2,"AAAAAH6PfxY=")</f>
        <v>#VALUE!</v>
      </c>
      <c r="X9" s="123" t="e">
        <f>AND(Versiones!FY2,"AAAAAH6Pfxc=")</f>
        <v>#VALUE!</v>
      </c>
      <c r="Y9" s="123" t="e">
        <f>AND(Versiones!FZ2,"AAAAAH6Pfxg=")</f>
        <v>#VALUE!</v>
      </c>
      <c r="Z9" s="123" t="e">
        <f>AND(Versiones!GA2,"AAAAAH6Pfxk=")</f>
        <v>#VALUE!</v>
      </c>
      <c r="AA9" s="123" t="e">
        <f>AND(Versiones!GB2,"AAAAAH6Pfxo=")</f>
        <v>#VALUE!</v>
      </c>
      <c r="AB9" s="123" t="e">
        <f>AND(Versiones!GC2,"AAAAAH6Pfxs=")</f>
        <v>#VALUE!</v>
      </c>
      <c r="AC9" s="123" t="e">
        <f>AND(Versiones!GD2,"AAAAAH6Pfxw=")</f>
        <v>#VALUE!</v>
      </c>
      <c r="AD9" s="123" t="e">
        <f>AND(Versiones!GE2,"AAAAAH6Pfx0=")</f>
        <v>#VALUE!</v>
      </c>
      <c r="AE9" s="123" t="e">
        <f>AND(Versiones!GF2,"AAAAAH6Pfx4=")</f>
        <v>#VALUE!</v>
      </c>
      <c r="AF9" s="123" t="e">
        <f>AND(Versiones!GG2,"AAAAAH6Pfx8=")</f>
        <v>#VALUE!</v>
      </c>
      <c r="AG9" s="123" t="e">
        <f>AND(Versiones!GH2,"AAAAAH6PfyA=")</f>
        <v>#VALUE!</v>
      </c>
      <c r="AH9" s="123" t="e">
        <f>AND(Versiones!GI2,"AAAAAH6PfyE=")</f>
        <v>#VALUE!</v>
      </c>
      <c r="AI9" s="123" t="e">
        <f>AND(Versiones!GJ2,"AAAAAH6PfyI=")</f>
        <v>#VALUE!</v>
      </c>
      <c r="AJ9" s="123" t="e">
        <f>AND(Versiones!GK2,"AAAAAH6PfyM=")</f>
        <v>#VALUE!</v>
      </c>
      <c r="AK9" s="123" t="e">
        <f>AND(Versiones!GL2,"AAAAAH6PfyQ=")</f>
        <v>#VALUE!</v>
      </c>
      <c r="AL9" s="123" t="e">
        <f>AND(Versiones!GM2,"AAAAAH6PfyU=")</f>
        <v>#VALUE!</v>
      </c>
      <c r="AM9" s="123" t="e">
        <f>AND(Versiones!GN2,"AAAAAH6PfyY=")</f>
        <v>#VALUE!</v>
      </c>
      <c r="AN9" s="123" t="e">
        <f>AND(Versiones!GO2,"AAAAAH6Pfyc=")</f>
        <v>#VALUE!</v>
      </c>
      <c r="AO9" s="123" t="e">
        <f>AND(Versiones!GP2,"AAAAAH6Pfyg=")</f>
        <v>#VALUE!</v>
      </c>
      <c r="AP9" s="123" t="e">
        <f>AND(Versiones!GQ2,"AAAAAH6Pfyk=")</f>
        <v>#VALUE!</v>
      </c>
      <c r="AQ9" s="123" t="e">
        <f>AND(Versiones!GR2,"AAAAAH6Pfyo=")</f>
        <v>#VALUE!</v>
      </c>
      <c r="AR9" s="123" t="e">
        <f>AND(Versiones!GS2,"AAAAAH6Pfys=")</f>
        <v>#VALUE!</v>
      </c>
      <c r="AS9" s="123" t="e">
        <f>AND(Versiones!GT2,"AAAAAH6Pfyw=")</f>
        <v>#VALUE!</v>
      </c>
      <c r="AT9" s="123" t="e">
        <f>AND(Versiones!GU2,"AAAAAH6Pfy0=")</f>
        <v>#VALUE!</v>
      </c>
      <c r="AU9" s="123" t="e">
        <f>AND(Versiones!GV2,"AAAAAH6Pfy4=")</f>
        <v>#VALUE!</v>
      </c>
      <c r="AV9" s="123" t="e">
        <f>AND(Versiones!GW2,"AAAAAH6Pfy8=")</f>
        <v>#VALUE!</v>
      </c>
      <c r="AW9" s="123" t="e">
        <f>AND(Versiones!GX2,"AAAAAH6PfzA=")</f>
        <v>#VALUE!</v>
      </c>
      <c r="AX9" s="123" t="e">
        <f>AND(Versiones!GY2,"AAAAAH6PfzE=")</f>
        <v>#VALUE!</v>
      </c>
      <c r="AY9" s="123" t="e">
        <f>AND(Versiones!GZ2,"AAAAAH6PfzI=")</f>
        <v>#VALUE!</v>
      </c>
      <c r="AZ9" s="123" t="e">
        <f>AND(Versiones!HA2,"AAAAAH6PfzM=")</f>
        <v>#VALUE!</v>
      </c>
      <c r="BA9" s="123" t="e">
        <f>AND(Versiones!HB2,"AAAAAH6PfzQ=")</f>
        <v>#VALUE!</v>
      </c>
      <c r="BB9" s="123" t="e">
        <f>AND(Versiones!HC2,"AAAAAH6PfzU=")</f>
        <v>#VALUE!</v>
      </c>
      <c r="BC9" s="123" t="e">
        <f>AND(Versiones!HD2,"AAAAAH6PfzY=")</f>
        <v>#VALUE!</v>
      </c>
      <c r="BD9" s="123" t="e">
        <f>AND(Versiones!HE2,"AAAAAH6Pfzc=")</f>
        <v>#VALUE!</v>
      </c>
      <c r="BE9" s="123" t="e">
        <f>AND(Versiones!HF2,"AAAAAH6Pfzg=")</f>
        <v>#VALUE!</v>
      </c>
      <c r="BF9" s="123" t="e">
        <f>AND(Versiones!HG2,"AAAAAH6Pfzk=")</f>
        <v>#VALUE!</v>
      </c>
      <c r="BG9" s="123" t="e">
        <f>AND(Versiones!HH2,"AAAAAH6Pfzo=")</f>
        <v>#VALUE!</v>
      </c>
      <c r="BH9" s="123" t="e">
        <f>AND(Versiones!HI2,"AAAAAH6Pfzs=")</f>
        <v>#VALUE!</v>
      </c>
      <c r="BI9" s="123">
        <f>IF(Versiones!3:3,"AAAAAH6Pfzw=",0)</f>
        <v>0</v>
      </c>
      <c r="BJ9" s="123" t="e">
        <f>AND(Versiones!A3,"AAAAAH6Pfz0=")</f>
        <v>#VALUE!</v>
      </c>
      <c r="BK9" s="123" t="e">
        <f>AND(Versiones!B3,"AAAAAH6Pfz4=")</f>
        <v>#VALUE!</v>
      </c>
      <c r="BL9" s="123" t="e">
        <f>AND(Versiones!C3,"AAAAAH6Pfz8=")</f>
        <v>#VALUE!</v>
      </c>
      <c r="BM9" s="123" t="e">
        <f>AND(Versiones!D3,"AAAAAH6Pf0A=")</f>
        <v>#VALUE!</v>
      </c>
      <c r="BN9" s="123" t="e">
        <f>AND(Versiones!E3,"AAAAAH6Pf0E=")</f>
        <v>#VALUE!</v>
      </c>
      <c r="BO9" s="123" t="e">
        <f>AND(Versiones!F3,"AAAAAH6Pf0I=")</f>
        <v>#VALUE!</v>
      </c>
      <c r="BP9" s="123" t="e">
        <f>AND(Versiones!#REF!,"AAAAAH6Pf0M=")</f>
        <v>#REF!</v>
      </c>
      <c r="BQ9" s="123" t="e">
        <f>AND(Versiones!G3,"AAAAAH6Pf0Q=")</f>
        <v>#VALUE!</v>
      </c>
      <c r="BR9" s="123" t="e">
        <f>AND(Versiones!H3,"AAAAAH6Pf0U=")</f>
        <v>#VALUE!</v>
      </c>
      <c r="BS9" s="123" t="e">
        <f>AND(Versiones!I3,"AAAAAH6Pf0Y=")</f>
        <v>#VALUE!</v>
      </c>
      <c r="BT9" s="123" t="e">
        <f>AND(Versiones!J3,"AAAAAH6Pf0c=")</f>
        <v>#VALUE!</v>
      </c>
      <c r="BU9" s="123" t="e">
        <f>AND(Versiones!K3,"AAAAAH6Pf0g=")</f>
        <v>#VALUE!</v>
      </c>
      <c r="BV9" s="123" t="e">
        <f>AND(Versiones!L3,"AAAAAH6Pf0k=")</f>
        <v>#VALUE!</v>
      </c>
      <c r="BW9" s="123" t="e">
        <f>AND(Versiones!M3,"AAAAAH6Pf0o=")</f>
        <v>#VALUE!</v>
      </c>
      <c r="BX9" s="123" t="e">
        <f>AND(Versiones!N3,"AAAAAH6Pf0s=")</f>
        <v>#VALUE!</v>
      </c>
      <c r="BY9" s="123" t="e">
        <f>AND(Versiones!O3,"AAAAAH6Pf0w=")</f>
        <v>#VALUE!</v>
      </c>
      <c r="BZ9" s="123" t="e">
        <f>AND(Versiones!P3,"AAAAAH6Pf00=")</f>
        <v>#VALUE!</v>
      </c>
      <c r="CA9" s="123" t="e">
        <f>AND(Versiones!Q3,"AAAAAH6Pf04=")</f>
        <v>#VALUE!</v>
      </c>
      <c r="CB9" s="123" t="e">
        <f>AND(Versiones!R3,"AAAAAH6Pf08=")</f>
        <v>#VALUE!</v>
      </c>
      <c r="CC9" s="123" t="e">
        <f>AND(Versiones!S3,"AAAAAH6Pf1A=")</f>
        <v>#VALUE!</v>
      </c>
      <c r="CD9" s="123" t="e">
        <f>AND(Versiones!T3,"AAAAAH6Pf1E=")</f>
        <v>#VALUE!</v>
      </c>
      <c r="CE9" s="123" t="e">
        <f>AND(Versiones!U3,"AAAAAH6Pf1I=")</f>
        <v>#VALUE!</v>
      </c>
      <c r="CF9" s="123" t="e">
        <f>AND(Versiones!V3,"AAAAAH6Pf1M=")</f>
        <v>#VALUE!</v>
      </c>
      <c r="CG9" s="123" t="e">
        <f>AND(Versiones!W3,"AAAAAH6Pf1Q=")</f>
        <v>#VALUE!</v>
      </c>
      <c r="CH9" s="123" t="e">
        <f>AND(Versiones!X3,"AAAAAH6Pf1U=")</f>
        <v>#VALUE!</v>
      </c>
      <c r="CI9" s="123" t="e">
        <f>AND(Versiones!Y3,"AAAAAH6Pf1Y=")</f>
        <v>#VALUE!</v>
      </c>
      <c r="CJ9" s="123" t="e">
        <f>AND(Versiones!Z3,"AAAAAH6Pf1c=")</f>
        <v>#VALUE!</v>
      </c>
      <c r="CK9" s="123" t="e">
        <f>AND(Versiones!AA3,"AAAAAH6Pf1g=")</f>
        <v>#VALUE!</v>
      </c>
      <c r="CL9" s="123" t="e">
        <f>AND(Versiones!AB3,"AAAAAH6Pf1k=")</f>
        <v>#VALUE!</v>
      </c>
      <c r="CM9" s="123" t="e">
        <f>AND(Versiones!AC3,"AAAAAH6Pf1o=")</f>
        <v>#VALUE!</v>
      </c>
      <c r="CN9" s="123" t="e">
        <f>AND(Versiones!AD3,"AAAAAH6Pf1s=")</f>
        <v>#VALUE!</v>
      </c>
      <c r="CO9" s="123" t="e">
        <f>AND(Versiones!AE3,"AAAAAH6Pf1w=")</f>
        <v>#VALUE!</v>
      </c>
      <c r="CP9" s="123" t="e">
        <f>AND(Versiones!AF3,"AAAAAH6Pf10=")</f>
        <v>#VALUE!</v>
      </c>
      <c r="CQ9" s="123" t="e">
        <f>AND(Versiones!AG3,"AAAAAH6Pf14=")</f>
        <v>#VALUE!</v>
      </c>
      <c r="CR9" s="123" t="e">
        <f>AND(Versiones!AH3,"AAAAAH6Pf18=")</f>
        <v>#VALUE!</v>
      </c>
      <c r="CS9" s="123" t="e">
        <f>AND(Versiones!AI3,"AAAAAH6Pf2A=")</f>
        <v>#VALUE!</v>
      </c>
      <c r="CT9" s="123" t="e">
        <f>AND(Versiones!AJ3,"AAAAAH6Pf2E=")</f>
        <v>#VALUE!</v>
      </c>
      <c r="CU9" s="123" t="e">
        <f>AND(Versiones!AK3,"AAAAAH6Pf2I=")</f>
        <v>#VALUE!</v>
      </c>
      <c r="CV9" s="123" t="e">
        <f>AND(Versiones!AL3,"AAAAAH6Pf2M=")</f>
        <v>#VALUE!</v>
      </c>
      <c r="CW9" s="123" t="e">
        <f>AND(Versiones!AM3,"AAAAAH6Pf2Q=")</f>
        <v>#VALUE!</v>
      </c>
      <c r="CX9" s="123" t="e">
        <f>AND(Versiones!AN3,"AAAAAH6Pf2U=")</f>
        <v>#VALUE!</v>
      </c>
      <c r="CY9" s="123" t="e">
        <f>AND(Versiones!AO3,"AAAAAH6Pf2Y=")</f>
        <v>#VALUE!</v>
      </c>
      <c r="CZ9" s="123" t="e">
        <f>AND(Versiones!AP3,"AAAAAH6Pf2c=")</f>
        <v>#VALUE!</v>
      </c>
      <c r="DA9" s="123" t="e">
        <f>AND(Versiones!AQ3,"AAAAAH6Pf2g=")</f>
        <v>#VALUE!</v>
      </c>
      <c r="DB9" s="123" t="e">
        <f>AND(Versiones!AR3,"AAAAAH6Pf2k=")</f>
        <v>#VALUE!</v>
      </c>
      <c r="DC9" s="123" t="e">
        <f>AND(Versiones!AS3,"AAAAAH6Pf2o=")</f>
        <v>#VALUE!</v>
      </c>
      <c r="DD9" s="123" t="e">
        <f>AND(Versiones!AT3,"AAAAAH6Pf2s=")</f>
        <v>#VALUE!</v>
      </c>
      <c r="DE9" s="123" t="e">
        <f>AND(Versiones!AU3,"AAAAAH6Pf2w=")</f>
        <v>#VALUE!</v>
      </c>
      <c r="DF9" s="123" t="e">
        <f>AND(Versiones!AV3,"AAAAAH6Pf20=")</f>
        <v>#VALUE!</v>
      </c>
      <c r="DG9" s="123" t="e">
        <f>AND(Versiones!AW3,"AAAAAH6Pf24=")</f>
        <v>#VALUE!</v>
      </c>
      <c r="DH9" s="123" t="e">
        <f>AND(Versiones!AX3,"AAAAAH6Pf28=")</f>
        <v>#VALUE!</v>
      </c>
      <c r="DI9" s="123" t="e">
        <f>AND(Versiones!AY3,"AAAAAH6Pf3A=")</f>
        <v>#VALUE!</v>
      </c>
      <c r="DJ9" s="123" t="e">
        <f>AND(Versiones!AZ3,"AAAAAH6Pf3E=")</f>
        <v>#VALUE!</v>
      </c>
      <c r="DK9" s="123" t="e">
        <f>AND(Versiones!BA3,"AAAAAH6Pf3I=")</f>
        <v>#VALUE!</v>
      </c>
      <c r="DL9" s="123" t="e">
        <f>AND(Versiones!BB3,"AAAAAH6Pf3M=")</f>
        <v>#VALUE!</v>
      </c>
      <c r="DM9" s="123" t="e">
        <f>AND(Versiones!BC3,"AAAAAH6Pf3Q=")</f>
        <v>#VALUE!</v>
      </c>
      <c r="DN9" s="123" t="e">
        <f>AND(Versiones!BD3,"AAAAAH6Pf3U=")</f>
        <v>#VALUE!</v>
      </c>
      <c r="DO9" s="123" t="e">
        <f>AND(Versiones!BE3,"AAAAAH6Pf3Y=")</f>
        <v>#VALUE!</v>
      </c>
      <c r="DP9" s="123" t="e">
        <f>AND(Versiones!BF3,"AAAAAH6Pf3c=")</f>
        <v>#VALUE!</v>
      </c>
      <c r="DQ9" s="123" t="e">
        <f>AND(Versiones!BG3,"AAAAAH6Pf3g=")</f>
        <v>#VALUE!</v>
      </c>
      <c r="DR9" s="123" t="e">
        <f>AND(Versiones!BH3,"AAAAAH6Pf3k=")</f>
        <v>#VALUE!</v>
      </c>
      <c r="DS9" s="123" t="e">
        <f>AND(Versiones!BI3,"AAAAAH6Pf3o=")</f>
        <v>#VALUE!</v>
      </c>
      <c r="DT9" s="123" t="e">
        <f>AND(Versiones!BJ3,"AAAAAH6Pf3s=")</f>
        <v>#VALUE!</v>
      </c>
      <c r="DU9" s="123" t="e">
        <f>AND(Versiones!BK3,"AAAAAH6Pf3w=")</f>
        <v>#VALUE!</v>
      </c>
      <c r="DV9" s="123" t="e">
        <f>AND(Versiones!BL3,"AAAAAH6Pf30=")</f>
        <v>#VALUE!</v>
      </c>
      <c r="DW9" s="123" t="e">
        <f>AND(Versiones!BM3,"AAAAAH6Pf34=")</f>
        <v>#VALUE!</v>
      </c>
      <c r="DX9" s="123" t="e">
        <f>AND(Versiones!BN3,"AAAAAH6Pf38=")</f>
        <v>#VALUE!</v>
      </c>
      <c r="DY9" s="123" t="e">
        <f>AND(Versiones!BO3,"AAAAAH6Pf4A=")</f>
        <v>#VALUE!</v>
      </c>
      <c r="DZ9" s="123" t="e">
        <f>AND(Versiones!BP3,"AAAAAH6Pf4E=")</f>
        <v>#VALUE!</v>
      </c>
      <c r="EA9" s="123" t="e">
        <f>AND(Versiones!BQ3,"AAAAAH6Pf4I=")</f>
        <v>#VALUE!</v>
      </c>
      <c r="EB9" s="123" t="e">
        <f>AND(Versiones!BR3,"AAAAAH6Pf4M=")</f>
        <v>#VALUE!</v>
      </c>
      <c r="EC9" s="123" t="e">
        <f>AND(Versiones!BS3,"AAAAAH6Pf4Q=")</f>
        <v>#VALUE!</v>
      </c>
      <c r="ED9" s="123" t="e">
        <f>AND(Versiones!BT3,"AAAAAH6Pf4U=")</f>
        <v>#VALUE!</v>
      </c>
      <c r="EE9" s="123" t="e">
        <f>AND(Versiones!BU3,"AAAAAH6Pf4Y=")</f>
        <v>#VALUE!</v>
      </c>
      <c r="EF9" s="123" t="e">
        <f>AND(Versiones!BV3,"AAAAAH6Pf4c=")</f>
        <v>#VALUE!</v>
      </c>
      <c r="EG9" s="123" t="e">
        <f>AND(Versiones!BW3,"AAAAAH6Pf4g=")</f>
        <v>#VALUE!</v>
      </c>
      <c r="EH9" s="123" t="e">
        <f>AND(Versiones!BX3,"AAAAAH6Pf4k=")</f>
        <v>#VALUE!</v>
      </c>
      <c r="EI9" s="123" t="e">
        <f>AND(Versiones!BY3,"AAAAAH6Pf4o=")</f>
        <v>#VALUE!</v>
      </c>
      <c r="EJ9" s="123" t="e">
        <f>AND(Versiones!BZ3,"AAAAAH6Pf4s=")</f>
        <v>#VALUE!</v>
      </c>
      <c r="EK9" s="123" t="e">
        <f>AND(Versiones!CA3,"AAAAAH6Pf4w=")</f>
        <v>#VALUE!</v>
      </c>
      <c r="EL9" s="123" t="e">
        <f>AND(Versiones!CB3,"AAAAAH6Pf40=")</f>
        <v>#VALUE!</v>
      </c>
      <c r="EM9" s="123" t="e">
        <f>AND(Versiones!CC3,"AAAAAH6Pf44=")</f>
        <v>#VALUE!</v>
      </c>
      <c r="EN9" s="123" t="e">
        <f>AND(Versiones!CD3,"AAAAAH6Pf48=")</f>
        <v>#VALUE!</v>
      </c>
      <c r="EO9" s="123" t="e">
        <f>AND(Versiones!CE3,"AAAAAH6Pf5A=")</f>
        <v>#VALUE!</v>
      </c>
      <c r="EP9" s="123" t="e">
        <f>AND(Versiones!CF3,"AAAAAH6Pf5E=")</f>
        <v>#VALUE!</v>
      </c>
      <c r="EQ9" s="123" t="e">
        <f>AND(Versiones!CG3,"AAAAAH6Pf5I=")</f>
        <v>#VALUE!</v>
      </c>
      <c r="ER9" s="123" t="e">
        <f>AND(Versiones!CH3,"AAAAAH6Pf5M=")</f>
        <v>#VALUE!</v>
      </c>
      <c r="ES9" s="123" t="e">
        <f>AND(Versiones!CI3,"AAAAAH6Pf5Q=")</f>
        <v>#VALUE!</v>
      </c>
      <c r="ET9" s="123" t="e">
        <f>AND(Versiones!CJ3,"AAAAAH6Pf5U=")</f>
        <v>#VALUE!</v>
      </c>
      <c r="EU9" s="123" t="e">
        <f>AND(Versiones!CK3,"AAAAAH6Pf5Y=")</f>
        <v>#VALUE!</v>
      </c>
      <c r="EV9" s="123" t="e">
        <f>AND(Versiones!CL3,"AAAAAH6Pf5c=")</f>
        <v>#VALUE!</v>
      </c>
      <c r="EW9" s="123" t="e">
        <f>AND(Versiones!CM3,"AAAAAH6Pf5g=")</f>
        <v>#VALUE!</v>
      </c>
      <c r="EX9" s="123" t="e">
        <f>AND(Versiones!CN3,"AAAAAH6Pf5k=")</f>
        <v>#VALUE!</v>
      </c>
      <c r="EY9" s="123" t="e">
        <f>AND(Versiones!CO3,"AAAAAH6Pf5o=")</f>
        <v>#VALUE!</v>
      </c>
      <c r="EZ9" s="123" t="e">
        <f>AND(Versiones!CP3,"AAAAAH6Pf5s=")</f>
        <v>#VALUE!</v>
      </c>
      <c r="FA9" s="123" t="e">
        <f>AND(Versiones!CQ3,"AAAAAH6Pf5w=")</f>
        <v>#VALUE!</v>
      </c>
      <c r="FB9" s="123" t="e">
        <f>AND(Versiones!CR3,"AAAAAH6Pf50=")</f>
        <v>#VALUE!</v>
      </c>
      <c r="FC9" s="123" t="e">
        <f>AND(Versiones!CS3,"AAAAAH6Pf54=")</f>
        <v>#VALUE!</v>
      </c>
      <c r="FD9" s="123" t="e">
        <f>AND(Versiones!CT3,"AAAAAH6Pf58=")</f>
        <v>#VALUE!</v>
      </c>
      <c r="FE9" s="123" t="e">
        <f>AND(Versiones!CU3,"AAAAAH6Pf6A=")</f>
        <v>#VALUE!</v>
      </c>
      <c r="FF9" s="123" t="e">
        <f>AND(Versiones!CV3,"AAAAAH6Pf6E=")</f>
        <v>#VALUE!</v>
      </c>
      <c r="FG9" s="123" t="e">
        <f>AND(Versiones!CW3,"AAAAAH6Pf6I=")</f>
        <v>#VALUE!</v>
      </c>
      <c r="FH9" s="123" t="e">
        <f>AND(Versiones!CX3,"AAAAAH6Pf6M=")</f>
        <v>#VALUE!</v>
      </c>
      <c r="FI9" s="123" t="e">
        <f>AND(Versiones!CY3,"AAAAAH6Pf6Q=")</f>
        <v>#VALUE!</v>
      </c>
      <c r="FJ9" s="123" t="e">
        <f>AND(Versiones!CZ3,"AAAAAH6Pf6U=")</f>
        <v>#VALUE!</v>
      </c>
      <c r="FK9" s="123" t="e">
        <f>AND(Versiones!DA3,"AAAAAH6Pf6Y=")</f>
        <v>#VALUE!</v>
      </c>
      <c r="FL9" s="123" t="e">
        <f>AND(Versiones!DB3,"AAAAAH6Pf6c=")</f>
        <v>#VALUE!</v>
      </c>
      <c r="FM9" s="123" t="e">
        <f>AND(Versiones!DC3,"AAAAAH6Pf6g=")</f>
        <v>#VALUE!</v>
      </c>
      <c r="FN9" s="123" t="e">
        <f>AND(Versiones!DD3,"AAAAAH6Pf6k=")</f>
        <v>#VALUE!</v>
      </c>
      <c r="FO9" s="123" t="e">
        <f>AND(Versiones!DE3,"AAAAAH6Pf6o=")</f>
        <v>#VALUE!</v>
      </c>
      <c r="FP9" s="123" t="e">
        <f>AND(Versiones!DF3,"AAAAAH6Pf6s=")</f>
        <v>#VALUE!</v>
      </c>
      <c r="FQ9" s="123" t="e">
        <f>AND(Versiones!DG3,"AAAAAH6Pf6w=")</f>
        <v>#VALUE!</v>
      </c>
      <c r="FR9" s="123" t="e">
        <f>AND(Versiones!DH3,"AAAAAH6Pf60=")</f>
        <v>#VALUE!</v>
      </c>
      <c r="FS9" s="123" t="e">
        <f>AND(Versiones!DI3,"AAAAAH6Pf64=")</f>
        <v>#VALUE!</v>
      </c>
      <c r="FT9" s="123" t="e">
        <f>AND(Versiones!DJ3,"AAAAAH6Pf68=")</f>
        <v>#VALUE!</v>
      </c>
      <c r="FU9" s="123" t="e">
        <f>AND(Versiones!DK3,"AAAAAH6Pf7A=")</f>
        <v>#VALUE!</v>
      </c>
      <c r="FV9" s="123" t="e">
        <f>AND(Versiones!DL3,"AAAAAH6Pf7E=")</f>
        <v>#VALUE!</v>
      </c>
      <c r="FW9" s="123" t="e">
        <f>AND(Versiones!DM3,"AAAAAH6Pf7I=")</f>
        <v>#VALUE!</v>
      </c>
      <c r="FX9" s="123" t="e">
        <f>AND(Versiones!DN3,"AAAAAH6Pf7M=")</f>
        <v>#VALUE!</v>
      </c>
      <c r="FY9" s="123" t="e">
        <f>AND(Versiones!DO3,"AAAAAH6Pf7Q=")</f>
        <v>#VALUE!</v>
      </c>
      <c r="FZ9" s="123" t="e">
        <f>AND(Versiones!DP3,"AAAAAH6Pf7U=")</f>
        <v>#VALUE!</v>
      </c>
      <c r="GA9" s="123" t="e">
        <f>AND(Versiones!DQ3,"AAAAAH6Pf7Y=")</f>
        <v>#VALUE!</v>
      </c>
      <c r="GB9" s="123" t="e">
        <f>AND(Versiones!DR3,"AAAAAH6Pf7c=")</f>
        <v>#VALUE!</v>
      </c>
      <c r="GC9" s="123" t="e">
        <f>AND(Versiones!DS3,"AAAAAH6Pf7g=")</f>
        <v>#VALUE!</v>
      </c>
      <c r="GD9" s="123" t="e">
        <f>AND(Versiones!DT3,"AAAAAH6Pf7k=")</f>
        <v>#VALUE!</v>
      </c>
      <c r="GE9" s="123" t="e">
        <f>AND(Versiones!DU3,"AAAAAH6Pf7o=")</f>
        <v>#VALUE!</v>
      </c>
      <c r="GF9" s="123" t="e">
        <f>AND(Versiones!DV3,"AAAAAH6Pf7s=")</f>
        <v>#VALUE!</v>
      </c>
      <c r="GG9" s="123" t="e">
        <f>AND(Versiones!DW3,"AAAAAH6Pf7w=")</f>
        <v>#VALUE!</v>
      </c>
      <c r="GH9" s="123" t="e">
        <f>AND(Versiones!DX3,"AAAAAH6Pf70=")</f>
        <v>#VALUE!</v>
      </c>
      <c r="GI9" s="123" t="e">
        <f>AND(Versiones!DY3,"AAAAAH6Pf74=")</f>
        <v>#VALUE!</v>
      </c>
      <c r="GJ9" s="123" t="e">
        <f>AND(Versiones!DZ3,"AAAAAH6Pf78=")</f>
        <v>#VALUE!</v>
      </c>
      <c r="GK9" s="123" t="e">
        <f>AND(Versiones!EA3,"AAAAAH6Pf8A=")</f>
        <v>#VALUE!</v>
      </c>
      <c r="GL9" s="123" t="e">
        <f>AND(Versiones!EB3,"AAAAAH6Pf8E=")</f>
        <v>#VALUE!</v>
      </c>
      <c r="GM9" s="123" t="e">
        <f>AND(Versiones!EC3,"AAAAAH6Pf8I=")</f>
        <v>#VALUE!</v>
      </c>
      <c r="GN9" s="123" t="e">
        <f>AND(Versiones!ED3,"AAAAAH6Pf8M=")</f>
        <v>#VALUE!</v>
      </c>
      <c r="GO9" s="123" t="e">
        <f>AND(Versiones!EE3,"AAAAAH6Pf8Q=")</f>
        <v>#VALUE!</v>
      </c>
      <c r="GP9" s="123" t="e">
        <f>AND(Versiones!EF3,"AAAAAH6Pf8U=")</f>
        <v>#VALUE!</v>
      </c>
      <c r="GQ9" s="123" t="e">
        <f>AND(Versiones!EG3,"AAAAAH6Pf8Y=")</f>
        <v>#VALUE!</v>
      </c>
      <c r="GR9" s="123" t="e">
        <f>AND(Versiones!EH3,"AAAAAH6Pf8c=")</f>
        <v>#VALUE!</v>
      </c>
      <c r="GS9" s="123" t="e">
        <f>AND(Versiones!EI3,"AAAAAH6Pf8g=")</f>
        <v>#VALUE!</v>
      </c>
      <c r="GT9" s="123" t="e">
        <f>AND(Versiones!EJ3,"AAAAAH6Pf8k=")</f>
        <v>#VALUE!</v>
      </c>
      <c r="GU9" s="123" t="e">
        <f>AND(Versiones!EK3,"AAAAAH6Pf8o=")</f>
        <v>#VALUE!</v>
      </c>
      <c r="GV9" s="123" t="e">
        <f>AND(Versiones!EL3,"AAAAAH6Pf8s=")</f>
        <v>#VALUE!</v>
      </c>
      <c r="GW9" s="123" t="e">
        <f>AND(Versiones!EM3,"AAAAAH6Pf8w=")</f>
        <v>#VALUE!</v>
      </c>
      <c r="GX9" s="123" t="e">
        <f>AND(Versiones!EN3,"AAAAAH6Pf80=")</f>
        <v>#VALUE!</v>
      </c>
      <c r="GY9" s="123" t="e">
        <f>AND(Versiones!EO3,"AAAAAH6Pf84=")</f>
        <v>#VALUE!</v>
      </c>
      <c r="GZ9" s="123" t="e">
        <f>AND(Versiones!EP3,"AAAAAH6Pf88=")</f>
        <v>#VALUE!</v>
      </c>
      <c r="HA9" s="123" t="e">
        <f>AND(Versiones!EQ3,"AAAAAH6Pf9A=")</f>
        <v>#VALUE!</v>
      </c>
      <c r="HB9" s="123" t="e">
        <f>AND(Versiones!ER3,"AAAAAH6Pf9E=")</f>
        <v>#VALUE!</v>
      </c>
      <c r="HC9" s="123" t="e">
        <f>AND(Versiones!ES3,"AAAAAH6Pf9I=")</f>
        <v>#VALUE!</v>
      </c>
      <c r="HD9" s="123" t="e">
        <f>AND(Versiones!ET3,"AAAAAH6Pf9M=")</f>
        <v>#VALUE!</v>
      </c>
      <c r="HE9" s="123" t="e">
        <f>AND(Versiones!EU3,"AAAAAH6Pf9Q=")</f>
        <v>#VALUE!</v>
      </c>
      <c r="HF9" s="123" t="e">
        <f>AND(Versiones!EV3,"AAAAAH6Pf9U=")</f>
        <v>#VALUE!</v>
      </c>
      <c r="HG9" s="123" t="e">
        <f>AND(Versiones!EW3,"AAAAAH6Pf9Y=")</f>
        <v>#VALUE!</v>
      </c>
      <c r="HH9" s="123" t="e">
        <f>AND(Versiones!EX3,"AAAAAH6Pf9c=")</f>
        <v>#VALUE!</v>
      </c>
      <c r="HI9" s="123" t="e">
        <f>AND(Versiones!EY3,"AAAAAH6Pf9g=")</f>
        <v>#VALUE!</v>
      </c>
      <c r="HJ9" s="123" t="e">
        <f>AND(Versiones!EZ3,"AAAAAH6Pf9k=")</f>
        <v>#VALUE!</v>
      </c>
      <c r="HK9" s="123" t="e">
        <f>AND(Versiones!FA3,"AAAAAH6Pf9o=")</f>
        <v>#VALUE!</v>
      </c>
      <c r="HL9" s="123" t="e">
        <f>AND(Versiones!FB3,"AAAAAH6Pf9s=")</f>
        <v>#VALUE!</v>
      </c>
      <c r="HM9" s="123" t="e">
        <f>AND(Versiones!FC3,"AAAAAH6Pf9w=")</f>
        <v>#VALUE!</v>
      </c>
      <c r="HN9" s="123" t="e">
        <f>AND(Versiones!FD3,"AAAAAH6Pf90=")</f>
        <v>#VALUE!</v>
      </c>
      <c r="HO9" s="123" t="e">
        <f>AND(Versiones!FE3,"AAAAAH6Pf94=")</f>
        <v>#VALUE!</v>
      </c>
      <c r="HP9" s="123" t="e">
        <f>AND(Versiones!FF3,"AAAAAH6Pf98=")</f>
        <v>#VALUE!</v>
      </c>
      <c r="HQ9" s="123" t="e">
        <f>AND(Versiones!FG3,"AAAAAH6Pf+A=")</f>
        <v>#VALUE!</v>
      </c>
      <c r="HR9" s="123" t="e">
        <f>AND(Versiones!FH3,"AAAAAH6Pf+E=")</f>
        <v>#VALUE!</v>
      </c>
      <c r="HS9" s="123" t="e">
        <f>AND(Versiones!FI3,"AAAAAH6Pf+I=")</f>
        <v>#VALUE!</v>
      </c>
      <c r="HT9" s="123" t="e">
        <f>AND(Versiones!FJ3,"AAAAAH6Pf+M=")</f>
        <v>#VALUE!</v>
      </c>
      <c r="HU9" s="123" t="e">
        <f>AND(Versiones!FK3,"AAAAAH6Pf+Q=")</f>
        <v>#VALUE!</v>
      </c>
      <c r="HV9" s="123" t="e">
        <f>AND(Versiones!FL3,"AAAAAH6Pf+U=")</f>
        <v>#VALUE!</v>
      </c>
      <c r="HW9" s="123" t="e">
        <f>AND(Versiones!FM3,"AAAAAH6Pf+Y=")</f>
        <v>#VALUE!</v>
      </c>
      <c r="HX9" s="123" t="e">
        <f>AND(Versiones!FN3,"AAAAAH6Pf+c=")</f>
        <v>#VALUE!</v>
      </c>
      <c r="HY9" s="123" t="e">
        <f>AND(Versiones!FO3,"AAAAAH6Pf+g=")</f>
        <v>#VALUE!</v>
      </c>
      <c r="HZ9" s="123" t="e">
        <f>AND(Versiones!FP3,"AAAAAH6Pf+k=")</f>
        <v>#VALUE!</v>
      </c>
      <c r="IA9" s="123" t="e">
        <f>AND(Versiones!FQ3,"AAAAAH6Pf+o=")</f>
        <v>#VALUE!</v>
      </c>
      <c r="IB9" s="123" t="e">
        <f>AND(Versiones!FR3,"AAAAAH6Pf+s=")</f>
        <v>#VALUE!</v>
      </c>
      <c r="IC9" s="123" t="e">
        <f>AND(Versiones!FS3,"AAAAAH6Pf+w=")</f>
        <v>#VALUE!</v>
      </c>
      <c r="ID9" s="123" t="e">
        <f>AND(Versiones!FT3,"AAAAAH6Pf+0=")</f>
        <v>#VALUE!</v>
      </c>
      <c r="IE9" s="123" t="e">
        <f>AND(Versiones!FU3,"AAAAAH6Pf+4=")</f>
        <v>#VALUE!</v>
      </c>
      <c r="IF9" s="123" t="e">
        <f>AND(Versiones!FV3,"AAAAAH6Pf+8=")</f>
        <v>#VALUE!</v>
      </c>
      <c r="IG9" s="123" t="e">
        <f>AND(Versiones!FW3,"AAAAAH6Pf/A=")</f>
        <v>#VALUE!</v>
      </c>
      <c r="IH9" s="123" t="e">
        <f>AND(Versiones!FX3,"AAAAAH6Pf/E=")</f>
        <v>#VALUE!</v>
      </c>
      <c r="II9" s="123" t="e">
        <f>AND(Versiones!FY3,"AAAAAH6Pf/I=")</f>
        <v>#VALUE!</v>
      </c>
      <c r="IJ9" s="123" t="e">
        <f>AND(Versiones!FZ3,"AAAAAH6Pf/M=")</f>
        <v>#VALUE!</v>
      </c>
      <c r="IK9" s="123" t="e">
        <f>AND(Versiones!GA3,"AAAAAH6Pf/Q=")</f>
        <v>#VALUE!</v>
      </c>
      <c r="IL9" s="123" t="e">
        <f>AND(Versiones!GB3,"AAAAAH6Pf/U=")</f>
        <v>#VALUE!</v>
      </c>
      <c r="IM9" s="123" t="e">
        <f>AND(Versiones!GC3,"AAAAAH6Pf/Y=")</f>
        <v>#VALUE!</v>
      </c>
      <c r="IN9" s="123" t="e">
        <f>AND(Versiones!GD3,"AAAAAH6Pf/c=")</f>
        <v>#VALUE!</v>
      </c>
      <c r="IO9" s="123" t="e">
        <f>AND(Versiones!GE3,"AAAAAH6Pf/g=")</f>
        <v>#VALUE!</v>
      </c>
      <c r="IP9" s="123" t="e">
        <f>AND(Versiones!GF3,"AAAAAH6Pf/k=")</f>
        <v>#VALUE!</v>
      </c>
      <c r="IQ9" s="123" t="e">
        <f>AND(Versiones!GG3,"AAAAAH6Pf/o=")</f>
        <v>#VALUE!</v>
      </c>
      <c r="IR9" s="123" t="e">
        <f>AND(Versiones!GH3,"AAAAAH6Pf/s=")</f>
        <v>#VALUE!</v>
      </c>
      <c r="IS9" s="123" t="e">
        <f>AND(Versiones!GI3,"AAAAAH6Pf/w=")</f>
        <v>#VALUE!</v>
      </c>
      <c r="IT9" s="123" t="e">
        <f>AND(Versiones!GJ3,"AAAAAH6Pf/0=")</f>
        <v>#VALUE!</v>
      </c>
      <c r="IU9" s="123" t="e">
        <f>AND(Versiones!GK3,"AAAAAH6Pf/4=")</f>
        <v>#VALUE!</v>
      </c>
      <c r="IV9" s="123" t="e">
        <f>AND(Versiones!GL3,"AAAAAH6Pf/8=")</f>
        <v>#VALUE!</v>
      </c>
    </row>
    <row r="10" spans="1:256" ht="14.4">
      <c r="A10" s="123" t="e">
        <f>AND(Versiones!GM3,"AAAAAGfPPQA=")</f>
        <v>#VALUE!</v>
      </c>
      <c r="B10" s="123" t="e">
        <f>AND(Versiones!GN3,"AAAAAGfPPQE=")</f>
        <v>#VALUE!</v>
      </c>
      <c r="C10" s="123" t="e">
        <f>AND(Versiones!GO3,"AAAAAGfPPQI=")</f>
        <v>#VALUE!</v>
      </c>
      <c r="D10" s="123" t="e">
        <f>AND(Versiones!GP3,"AAAAAGfPPQM=")</f>
        <v>#VALUE!</v>
      </c>
      <c r="E10" s="123" t="e">
        <f>AND(Versiones!GQ3,"AAAAAGfPPQQ=")</f>
        <v>#VALUE!</v>
      </c>
      <c r="F10" s="123" t="e">
        <f>AND(Versiones!GR3,"AAAAAGfPPQU=")</f>
        <v>#VALUE!</v>
      </c>
      <c r="G10" s="123" t="e">
        <f>AND(Versiones!GS3,"AAAAAGfPPQY=")</f>
        <v>#VALUE!</v>
      </c>
      <c r="H10" s="123" t="e">
        <f>AND(Versiones!GT3,"AAAAAGfPPQc=")</f>
        <v>#VALUE!</v>
      </c>
      <c r="I10" s="123" t="e">
        <f>AND(Versiones!GU3,"AAAAAGfPPQg=")</f>
        <v>#VALUE!</v>
      </c>
      <c r="J10" s="123" t="e">
        <f>AND(Versiones!GV3,"AAAAAGfPPQk=")</f>
        <v>#VALUE!</v>
      </c>
      <c r="K10" s="123" t="e">
        <f>AND(Versiones!GW3,"AAAAAGfPPQo=")</f>
        <v>#VALUE!</v>
      </c>
      <c r="L10" s="123" t="e">
        <f>AND(Versiones!GX3,"AAAAAGfPPQs=")</f>
        <v>#VALUE!</v>
      </c>
      <c r="M10" s="123" t="e">
        <f>AND(Versiones!GY3,"AAAAAGfPPQw=")</f>
        <v>#VALUE!</v>
      </c>
      <c r="N10" s="123" t="e">
        <f>AND(Versiones!GZ3,"AAAAAGfPPQ0=")</f>
        <v>#VALUE!</v>
      </c>
      <c r="O10" s="123" t="e">
        <f>AND(Versiones!HA3,"AAAAAGfPPQ4=")</f>
        <v>#VALUE!</v>
      </c>
      <c r="P10" s="123" t="e">
        <f>AND(Versiones!HB3,"AAAAAGfPPQ8=")</f>
        <v>#VALUE!</v>
      </c>
      <c r="Q10" s="123" t="e">
        <f>AND(Versiones!HC3,"AAAAAGfPPRA=")</f>
        <v>#VALUE!</v>
      </c>
      <c r="R10" s="123" t="e">
        <f>AND(Versiones!HD3,"AAAAAGfPPRE=")</f>
        <v>#VALUE!</v>
      </c>
      <c r="S10" s="123" t="e">
        <f>AND(Versiones!HE3,"AAAAAGfPPRI=")</f>
        <v>#VALUE!</v>
      </c>
      <c r="T10" s="123" t="e">
        <f>AND(Versiones!HF3,"AAAAAGfPPRM=")</f>
        <v>#VALUE!</v>
      </c>
      <c r="U10" s="123" t="e">
        <f>AND(Versiones!HG3,"AAAAAGfPPRQ=")</f>
        <v>#VALUE!</v>
      </c>
      <c r="V10" s="123" t="e">
        <f>AND(Versiones!HH3,"AAAAAGfPPRU=")</f>
        <v>#VALUE!</v>
      </c>
      <c r="W10" s="123" t="e">
        <f>AND(Versiones!HI3,"AAAAAGfPPRY=")</f>
        <v>#VALUE!</v>
      </c>
      <c r="X10" s="123">
        <f>IF(Versiones!4:4,"AAAAAGfPPRc=",0)</f>
        <v>0</v>
      </c>
      <c r="Y10" s="123" t="e">
        <f>AND(Versiones!A4,"AAAAAGfPPRg=")</f>
        <v>#VALUE!</v>
      </c>
      <c r="Z10" s="123" t="e">
        <f>AND(Versiones!B4,"AAAAAGfPPRk=")</f>
        <v>#VALUE!</v>
      </c>
      <c r="AA10" s="123" t="e">
        <f>AND(Versiones!C4,"AAAAAGfPPRo=")</f>
        <v>#VALUE!</v>
      </c>
      <c r="AB10" s="123" t="e">
        <f>AND(Versiones!D4,"AAAAAGfPPRs=")</f>
        <v>#VALUE!</v>
      </c>
      <c r="AC10" s="123" t="e">
        <f>AND(Versiones!E4,"AAAAAGfPPRw=")</f>
        <v>#VALUE!</v>
      </c>
      <c r="AD10" s="123" t="e">
        <f>AND(Versiones!F4,"AAAAAGfPPR0=")</f>
        <v>#VALUE!</v>
      </c>
      <c r="AE10" s="123" t="e">
        <f>AND(Versiones!#REF!,"AAAAAGfPPR4=")</f>
        <v>#REF!</v>
      </c>
      <c r="AF10" s="123" t="e">
        <f>AND(Versiones!G4,"AAAAAGfPPR8=")</f>
        <v>#VALUE!</v>
      </c>
      <c r="AG10" s="123" t="e">
        <f>AND(Versiones!H4,"AAAAAGfPPSA=")</f>
        <v>#VALUE!</v>
      </c>
      <c r="AH10" s="123" t="e">
        <f>AND(Versiones!I4,"AAAAAGfPPSE=")</f>
        <v>#VALUE!</v>
      </c>
      <c r="AI10" s="123" t="e">
        <f>AND(Versiones!J4,"AAAAAGfPPSI=")</f>
        <v>#VALUE!</v>
      </c>
      <c r="AJ10" s="123" t="e">
        <f>AND(Versiones!K4,"AAAAAGfPPSM=")</f>
        <v>#VALUE!</v>
      </c>
      <c r="AK10" s="123" t="e">
        <f>AND(Versiones!L4,"AAAAAGfPPSQ=")</f>
        <v>#VALUE!</v>
      </c>
      <c r="AL10" s="123" t="e">
        <f>AND(Versiones!M4,"AAAAAGfPPSU=")</f>
        <v>#VALUE!</v>
      </c>
      <c r="AM10" s="123" t="e">
        <f>AND(Versiones!N4,"AAAAAGfPPSY=")</f>
        <v>#VALUE!</v>
      </c>
      <c r="AN10" s="123" t="e">
        <f>AND(Versiones!O4,"AAAAAGfPPSc=")</f>
        <v>#VALUE!</v>
      </c>
      <c r="AO10" s="123" t="e">
        <f>AND(Versiones!P4,"AAAAAGfPPSg=")</f>
        <v>#VALUE!</v>
      </c>
      <c r="AP10" s="123" t="e">
        <f>AND(Versiones!Q4,"AAAAAGfPPSk=")</f>
        <v>#VALUE!</v>
      </c>
      <c r="AQ10" s="123" t="e">
        <f>AND(Versiones!R4,"AAAAAGfPPSo=")</f>
        <v>#VALUE!</v>
      </c>
      <c r="AR10" s="123" t="e">
        <f>AND(Versiones!S4,"AAAAAGfPPSs=")</f>
        <v>#VALUE!</v>
      </c>
      <c r="AS10" s="123" t="e">
        <f>AND(Versiones!T4,"AAAAAGfPPSw=")</f>
        <v>#VALUE!</v>
      </c>
      <c r="AT10" s="123" t="e">
        <f>AND(Versiones!U4,"AAAAAGfPPS0=")</f>
        <v>#VALUE!</v>
      </c>
      <c r="AU10" s="123" t="e">
        <f>AND(Versiones!V4,"AAAAAGfPPS4=")</f>
        <v>#VALUE!</v>
      </c>
      <c r="AV10" s="123" t="e">
        <f>AND(Versiones!W4,"AAAAAGfPPS8=")</f>
        <v>#VALUE!</v>
      </c>
      <c r="AW10" s="123" t="e">
        <f>AND(Versiones!X4,"AAAAAGfPPTA=")</f>
        <v>#VALUE!</v>
      </c>
      <c r="AX10" s="123" t="e">
        <f>AND(Versiones!Y4,"AAAAAGfPPTE=")</f>
        <v>#VALUE!</v>
      </c>
      <c r="AY10" s="123" t="e">
        <f>AND(Versiones!Z4,"AAAAAGfPPTI=")</f>
        <v>#VALUE!</v>
      </c>
      <c r="AZ10" s="123" t="e">
        <f>AND(Versiones!AA4,"AAAAAGfPPTM=")</f>
        <v>#VALUE!</v>
      </c>
      <c r="BA10" s="123" t="e">
        <f>AND(Versiones!AB4,"AAAAAGfPPTQ=")</f>
        <v>#VALUE!</v>
      </c>
      <c r="BB10" s="123" t="e">
        <f>AND(Versiones!AC4,"AAAAAGfPPTU=")</f>
        <v>#VALUE!</v>
      </c>
      <c r="BC10" s="123" t="e">
        <f>AND(Versiones!AD4,"AAAAAGfPPTY=")</f>
        <v>#VALUE!</v>
      </c>
      <c r="BD10" s="123" t="e">
        <f>AND(Versiones!AE4,"AAAAAGfPPTc=")</f>
        <v>#VALUE!</v>
      </c>
      <c r="BE10" s="123" t="e">
        <f>AND(Versiones!AF4,"AAAAAGfPPTg=")</f>
        <v>#VALUE!</v>
      </c>
      <c r="BF10" s="123" t="e">
        <f>AND(Versiones!AG4,"AAAAAGfPPTk=")</f>
        <v>#VALUE!</v>
      </c>
      <c r="BG10" s="123" t="e">
        <f>AND(Versiones!AH4,"AAAAAGfPPTo=")</f>
        <v>#VALUE!</v>
      </c>
      <c r="BH10" s="123" t="e">
        <f>AND(Versiones!AI4,"AAAAAGfPPTs=")</f>
        <v>#VALUE!</v>
      </c>
      <c r="BI10" s="123" t="e">
        <f>AND(Versiones!AJ4,"AAAAAGfPPTw=")</f>
        <v>#VALUE!</v>
      </c>
      <c r="BJ10" s="123" t="e">
        <f>AND(Versiones!AK4,"AAAAAGfPPT0=")</f>
        <v>#VALUE!</v>
      </c>
      <c r="BK10" s="123" t="e">
        <f>AND(Versiones!AL4,"AAAAAGfPPT4=")</f>
        <v>#VALUE!</v>
      </c>
      <c r="BL10" s="123" t="e">
        <f>AND(Versiones!AM4,"AAAAAGfPPT8=")</f>
        <v>#VALUE!</v>
      </c>
      <c r="BM10" s="123" t="e">
        <f>AND(Versiones!AN4,"AAAAAGfPPUA=")</f>
        <v>#VALUE!</v>
      </c>
      <c r="BN10" s="123" t="e">
        <f>AND(Versiones!AO4,"AAAAAGfPPUE=")</f>
        <v>#VALUE!</v>
      </c>
      <c r="BO10" s="123" t="e">
        <f>AND(Versiones!AP4,"AAAAAGfPPUI=")</f>
        <v>#VALUE!</v>
      </c>
      <c r="BP10" s="123" t="e">
        <f>AND(Versiones!AQ4,"AAAAAGfPPUM=")</f>
        <v>#VALUE!</v>
      </c>
      <c r="BQ10" s="123" t="e">
        <f>AND(Versiones!AR4,"AAAAAGfPPUQ=")</f>
        <v>#VALUE!</v>
      </c>
      <c r="BR10" s="123" t="e">
        <f>AND(Versiones!AS4,"AAAAAGfPPUU=")</f>
        <v>#VALUE!</v>
      </c>
      <c r="BS10" s="123" t="e">
        <f>AND(Versiones!AT4,"AAAAAGfPPUY=")</f>
        <v>#VALUE!</v>
      </c>
      <c r="BT10" s="123" t="e">
        <f>AND(Versiones!AU4,"AAAAAGfPPUc=")</f>
        <v>#VALUE!</v>
      </c>
      <c r="BU10" s="123" t="e">
        <f>AND(Versiones!AV4,"AAAAAGfPPUg=")</f>
        <v>#VALUE!</v>
      </c>
      <c r="BV10" s="123" t="e">
        <f>AND(Versiones!AW4,"AAAAAGfPPUk=")</f>
        <v>#VALUE!</v>
      </c>
      <c r="BW10" s="123" t="e">
        <f>AND(Versiones!AX4,"AAAAAGfPPUo=")</f>
        <v>#VALUE!</v>
      </c>
      <c r="BX10" s="123" t="e">
        <f>AND(Versiones!AY4,"AAAAAGfPPUs=")</f>
        <v>#VALUE!</v>
      </c>
      <c r="BY10" s="123" t="e">
        <f>AND(Versiones!AZ4,"AAAAAGfPPUw=")</f>
        <v>#VALUE!</v>
      </c>
      <c r="BZ10" s="123" t="e">
        <f>AND(Versiones!BA4,"AAAAAGfPPU0=")</f>
        <v>#VALUE!</v>
      </c>
      <c r="CA10" s="123" t="e">
        <f>AND(Versiones!BB4,"AAAAAGfPPU4=")</f>
        <v>#VALUE!</v>
      </c>
      <c r="CB10" s="123" t="e">
        <f>AND(Versiones!BC4,"AAAAAGfPPU8=")</f>
        <v>#VALUE!</v>
      </c>
      <c r="CC10" s="123" t="e">
        <f>AND(Versiones!BD4,"AAAAAGfPPVA=")</f>
        <v>#VALUE!</v>
      </c>
      <c r="CD10" s="123" t="e">
        <f>AND(Versiones!BE4,"AAAAAGfPPVE=")</f>
        <v>#VALUE!</v>
      </c>
      <c r="CE10" s="123" t="e">
        <f>AND(Versiones!BF4,"AAAAAGfPPVI=")</f>
        <v>#VALUE!</v>
      </c>
      <c r="CF10" s="123" t="e">
        <f>AND(Versiones!BG4,"AAAAAGfPPVM=")</f>
        <v>#VALUE!</v>
      </c>
      <c r="CG10" s="123" t="e">
        <f>AND(Versiones!BH4,"AAAAAGfPPVQ=")</f>
        <v>#VALUE!</v>
      </c>
      <c r="CH10" s="123" t="e">
        <f>AND(Versiones!BI4,"AAAAAGfPPVU=")</f>
        <v>#VALUE!</v>
      </c>
      <c r="CI10" s="123" t="e">
        <f>AND(Versiones!BJ4,"AAAAAGfPPVY=")</f>
        <v>#VALUE!</v>
      </c>
      <c r="CJ10" s="123" t="e">
        <f>AND(Versiones!BK4,"AAAAAGfPPVc=")</f>
        <v>#VALUE!</v>
      </c>
      <c r="CK10" s="123" t="e">
        <f>AND(Versiones!BL4,"AAAAAGfPPVg=")</f>
        <v>#VALUE!</v>
      </c>
      <c r="CL10" s="123" t="e">
        <f>AND(Versiones!BM4,"AAAAAGfPPVk=")</f>
        <v>#VALUE!</v>
      </c>
      <c r="CM10" s="123" t="e">
        <f>AND(Versiones!BN4,"AAAAAGfPPVo=")</f>
        <v>#VALUE!</v>
      </c>
      <c r="CN10" s="123" t="e">
        <f>AND(Versiones!BO4,"AAAAAGfPPVs=")</f>
        <v>#VALUE!</v>
      </c>
      <c r="CO10" s="123" t="e">
        <f>AND(Versiones!BP4,"AAAAAGfPPVw=")</f>
        <v>#VALUE!</v>
      </c>
      <c r="CP10" s="123" t="e">
        <f>AND(Versiones!BQ4,"AAAAAGfPPV0=")</f>
        <v>#VALUE!</v>
      </c>
      <c r="CQ10" s="123" t="e">
        <f>AND(Versiones!BR4,"AAAAAGfPPV4=")</f>
        <v>#VALUE!</v>
      </c>
      <c r="CR10" s="123" t="e">
        <f>AND(Versiones!BS4,"AAAAAGfPPV8=")</f>
        <v>#VALUE!</v>
      </c>
      <c r="CS10" s="123" t="e">
        <f>AND(Versiones!BT4,"AAAAAGfPPWA=")</f>
        <v>#VALUE!</v>
      </c>
      <c r="CT10" s="123" t="e">
        <f>AND(Versiones!BU4,"AAAAAGfPPWE=")</f>
        <v>#VALUE!</v>
      </c>
      <c r="CU10" s="123" t="e">
        <f>AND(Versiones!BV4,"AAAAAGfPPWI=")</f>
        <v>#VALUE!</v>
      </c>
      <c r="CV10" s="123" t="e">
        <f>AND(Versiones!BW4,"AAAAAGfPPWM=")</f>
        <v>#VALUE!</v>
      </c>
      <c r="CW10" s="123" t="e">
        <f>AND(Versiones!BX4,"AAAAAGfPPWQ=")</f>
        <v>#VALUE!</v>
      </c>
      <c r="CX10" s="123" t="e">
        <f>AND(Versiones!BY4,"AAAAAGfPPWU=")</f>
        <v>#VALUE!</v>
      </c>
      <c r="CY10" s="123" t="e">
        <f>AND(Versiones!BZ4,"AAAAAGfPPWY=")</f>
        <v>#VALUE!</v>
      </c>
      <c r="CZ10" s="123" t="e">
        <f>AND(Versiones!CA4,"AAAAAGfPPWc=")</f>
        <v>#VALUE!</v>
      </c>
      <c r="DA10" s="123" t="e">
        <f>AND(Versiones!CB4,"AAAAAGfPPWg=")</f>
        <v>#VALUE!</v>
      </c>
      <c r="DB10" s="123" t="e">
        <f>AND(Versiones!CC4,"AAAAAGfPPWk=")</f>
        <v>#VALUE!</v>
      </c>
      <c r="DC10" s="123" t="e">
        <f>AND(Versiones!CD4,"AAAAAGfPPWo=")</f>
        <v>#VALUE!</v>
      </c>
      <c r="DD10" s="123" t="e">
        <f>AND(Versiones!CE4,"AAAAAGfPPWs=")</f>
        <v>#VALUE!</v>
      </c>
      <c r="DE10" s="123" t="e">
        <f>AND(Versiones!CF4,"AAAAAGfPPWw=")</f>
        <v>#VALUE!</v>
      </c>
      <c r="DF10" s="123" t="e">
        <f>AND(Versiones!CG4,"AAAAAGfPPW0=")</f>
        <v>#VALUE!</v>
      </c>
      <c r="DG10" s="123" t="e">
        <f>AND(Versiones!CH4,"AAAAAGfPPW4=")</f>
        <v>#VALUE!</v>
      </c>
      <c r="DH10" s="123" t="e">
        <f>AND(Versiones!CI4,"AAAAAGfPPW8=")</f>
        <v>#VALUE!</v>
      </c>
      <c r="DI10" s="123" t="e">
        <f>AND(Versiones!CJ4,"AAAAAGfPPXA=")</f>
        <v>#VALUE!</v>
      </c>
      <c r="DJ10" s="123" t="e">
        <f>AND(Versiones!CK4,"AAAAAGfPPXE=")</f>
        <v>#VALUE!</v>
      </c>
      <c r="DK10" s="123" t="e">
        <f>AND(Versiones!CL4,"AAAAAGfPPXI=")</f>
        <v>#VALUE!</v>
      </c>
      <c r="DL10" s="123" t="e">
        <f>AND(Versiones!CM4,"AAAAAGfPPXM=")</f>
        <v>#VALUE!</v>
      </c>
      <c r="DM10" s="123" t="e">
        <f>AND(Versiones!CN4,"AAAAAGfPPXQ=")</f>
        <v>#VALUE!</v>
      </c>
      <c r="DN10" s="123" t="e">
        <f>AND(Versiones!CO4,"AAAAAGfPPXU=")</f>
        <v>#VALUE!</v>
      </c>
      <c r="DO10" s="123" t="e">
        <f>AND(Versiones!CP4,"AAAAAGfPPXY=")</f>
        <v>#VALUE!</v>
      </c>
      <c r="DP10" s="123" t="e">
        <f>AND(Versiones!CQ4,"AAAAAGfPPXc=")</f>
        <v>#VALUE!</v>
      </c>
      <c r="DQ10" s="123" t="e">
        <f>AND(Versiones!CR4,"AAAAAGfPPXg=")</f>
        <v>#VALUE!</v>
      </c>
      <c r="DR10" s="123" t="e">
        <f>AND(Versiones!CS4,"AAAAAGfPPXk=")</f>
        <v>#VALUE!</v>
      </c>
      <c r="DS10" s="123" t="e">
        <f>AND(Versiones!CT4,"AAAAAGfPPXo=")</f>
        <v>#VALUE!</v>
      </c>
      <c r="DT10" s="123" t="e">
        <f>AND(Versiones!CU4,"AAAAAGfPPXs=")</f>
        <v>#VALUE!</v>
      </c>
      <c r="DU10" s="123" t="e">
        <f>AND(Versiones!CV4,"AAAAAGfPPXw=")</f>
        <v>#VALUE!</v>
      </c>
      <c r="DV10" s="123" t="e">
        <f>AND(Versiones!CW4,"AAAAAGfPPX0=")</f>
        <v>#VALUE!</v>
      </c>
      <c r="DW10" s="123" t="e">
        <f>AND(Versiones!CX4,"AAAAAGfPPX4=")</f>
        <v>#VALUE!</v>
      </c>
      <c r="DX10" s="123" t="e">
        <f>AND(Versiones!CY4,"AAAAAGfPPX8=")</f>
        <v>#VALUE!</v>
      </c>
      <c r="DY10" s="123" t="e">
        <f>AND(Versiones!CZ4,"AAAAAGfPPYA=")</f>
        <v>#VALUE!</v>
      </c>
      <c r="DZ10" s="123" t="e">
        <f>AND(Versiones!DA4,"AAAAAGfPPYE=")</f>
        <v>#VALUE!</v>
      </c>
      <c r="EA10" s="123" t="e">
        <f>AND(Versiones!DB4,"AAAAAGfPPYI=")</f>
        <v>#VALUE!</v>
      </c>
      <c r="EB10" s="123" t="e">
        <f>AND(Versiones!DC4,"AAAAAGfPPYM=")</f>
        <v>#VALUE!</v>
      </c>
      <c r="EC10" s="123" t="e">
        <f>AND(Versiones!DD4,"AAAAAGfPPYQ=")</f>
        <v>#VALUE!</v>
      </c>
      <c r="ED10" s="123" t="e">
        <f>AND(Versiones!DE4,"AAAAAGfPPYU=")</f>
        <v>#VALUE!</v>
      </c>
      <c r="EE10" s="123" t="e">
        <f>AND(Versiones!DF4,"AAAAAGfPPYY=")</f>
        <v>#VALUE!</v>
      </c>
      <c r="EF10" s="123" t="e">
        <f>AND(Versiones!DG4,"AAAAAGfPPYc=")</f>
        <v>#VALUE!</v>
      </c>
      <c r="EG10" s="123" t="e">
        <f>AND(Versiones!DH4,"AAAAAGfPPYg=")</f>
        <v>#VALUE!</v>
      </c>
      <c r="EH10" s="123" t="e">
        <f>AND(Versiones!DI4,"AAAAAGfPPYk=")</f>
        <v>#VALUE!</v>
      </c>
      <c r="EI10" s="123" t="e">
        <f>AND(Versiones!DJ4,"AAAAAGfPPYo=")</f>
        <v>#VALUE!</v>
      </c>
      <c r="EJ10" s="123" t="e">
        <f>AND(Versiones!DK4,"AAAAAGfPPYs=")</f>
        <v>#VALUE!</v>
      </c>
      <c r="EK10" s="123" t="e">
        <f>AND(Versiones!DL4,"AAAAAGfPPYw=")</f>
        <v>#VALUE!</v>
      </c>
      <c r="EL10" s="123" t="e">
        <f>AND(Versiones!DM4,"AAAAAGfPPY0=")</f>
        <v>#VALUE!</v>
      </c>
      <c r="EM10" s="123" t="e">
        <f>AND(Versiones!DN4,"AAAAAGfPPY4=")</f>
        <v>#VALUE!</v>
      </c>
      <c r="EN10" s="123" t="e">
        <f>AND(Versiones!DO4,"AAAAAGfPPY8=")</f>
        <v>#VALUE!</v>
      </c>
      <c r="EO10" s="123" t="e">
        <f>AND(Versiones!DP4,"AAAAAGfPPZA=")</f>
        <v>#VALUE!</v>
      </c>
      <c r="EP10" s="123" t="e">
        <f>AND(Versiones!DQ4,"AAAAAGfPPZE=")</f>
        <v>#VALUE!</v>
      </c>
      <c r="EQ10" s="123" t="e">
        <f>AND(Versiones!DR4,"AAAAAGfPPZI=")</f>
        <v>#VALUE!</v>
      </c>
      <c r="ER10" s="123" t="e">
        <f>AND(Versiones!DS4,"AAAAAGfPPZM=")</f>
        <v>#VALUE!</v>
      </c>
      <c r="ES10" s="123" t="e">
        <f>AND(Versiones!DT4,"AAAAAGfPPZQ=")</f>
        <v>#VALUE!</v>
      </c>
      <c r="ET10" s="123" t="e">
        <f>AND(Versiones!DU4,"AAAAAGfPPZU=")</f>
        <v>#VALUE!</v>
      </c>
      <c r="EU10" s="123" t="e">
        <f>AND(Versiones!DV4,"AAAAAGfPPZY=")</f>
        <v>#VALUE!</v>
      </c>
      <c r="EV10" s="123" t="e">
        <f>AND(Versiones!DW4,"AAAAAGfPPZc=")</f>
        <v>#VALUE!</v>
      </c>
      <c r="EW10" s="123" t="e">
        <f>AND(Versiones!DX4,"AAAAAGfPPZg=")</f>
        <v>#VALUE!</v>
      </c>
      <c r="EX10" s="123" t="e">
        <f>AND(Versiones!DY4,"AAAAAGfPPZk=")</f>
        <v>#VALUE!</v>
      </c>
      <c r="EY10" s="123" t="e">
        <f>AND(Versiones!DZ4,"AAAAAGfPPZo=")</f>
        <v>#VALUE!</v>
      </c>
      <c r="EZ10" s="123" t="e">
        <f>AND(Versiones!EA4,"AAAAAGfPPZs=")</f>
        <v>#VALUE!</v>
      </c>
      <c r="FA10" s="123" t="e">
        <f>AND(Versiones!EB4,"AAAAAGfPPZw=")</f>
        <v>#VALUE!</v>
      </c>
      <c r="FB10" s="123" t="e">
        <f>AND(Versiones!EC4,"AAAAAGfPPZ0=")</f>
        <v>#VALUE!</v>
      </c>
      <c r="FC10" s="123" t="e">
        <f>AND(Versiones!ED4,"AAAAAGfPPZ4=")</f>
        <v>#VALUE!</v>
      </c>
      <c r="FD10" s="123" t="e">
        <f>AND(Versiones!EE4,"AAAAAGfPPZ8=")</f>
        <v>#VALUE!</v>
      </c>
      <c r="FE10" s="123" t="e">
        <f>AND(Versiones!EF4,"AAAAAGfPPaA=")</f>
        <v>#VALUE!</v>
      </c>
      <c r="FF10" s="123" t="e">
        <f>AND(Versiones!EG4,"AAAAAGfPPaE=")</f>
        <v>#VALUE!</v>
      </c>
      <c r="FG10" s="123" t="e">
        <f>AND(Versiones!EH4,"AAAAAGfPPaI=")</f>
        <v>#VALUE!</v>
      </c>
      <c r="FH10" s="123" t="e">
        <f>AND(Versiones!EI4,"AAAAAGfPPaM=")</f>
        <v>#VALUE!</v>
      </c>
      <c r="FI10" s="123" t="e">
        <f>AND(Versiones!EJ4,"AAAAAGfPPaQ=")</f>
        <v>#VALUE!</v>
      </c>
      <c r="FJ10" s="123" t="e">
        <f>AND(Versiones!EK4,"AAAAAGfPPaU=")</f>
        <v>#VALUE!</v>
      </c>
      <c r="FK10" s="123" t="e">
        <f>AND(Versiones!EL4,"AAAAAGfPPaY=")</f>
        <v>#VALUE!</v>
      </c>
      <c r="FL10" s="123" t="e">
        <f>AND(Versiones!EM4,"AAAAAGfPPac=")</f>
        <v>#VALUE!</v>
      </c>
      <c r="FM10" s="123" t="e">
        <f>AND(Versiones!EN4,"AAAAAGfPPag=")</f>
        <v>#VALUE!</v>
      </c>
      <c r="FN10" s="123" t="e">
        <f>AND(Versiones!EO4,"AAAAAGfPPak=")</f>
        <v>#VALUE!</v>
      </c>
      <c r="FO10" s="123" t="e">
        <f>AND(Versiones!EP4,"AAAAAGfPPao=")</f>
        <v>#VALUE!</v>
      </c>
      <c r="FP10" s="123" t="e">
        <f>AND(Versiones!EQ4,"AAAAAGfPPas=")</f>
        <v>#VALUE!</v>
      </c>
      <c r="FQ10" s="123" t="e">
        <f>AND(Versiones!ER4,"AAAAAGfPPaw=")</f>
        <v>#VALUE!</v>
      </c>
      <c r="FR10" s="123" t="e">
        <f>AND(Versiones!ES4,"AAAAAGfPPa0=")</f>
        <v>#VALUE!</v>
      </c>
      <c r="FS10" s="123" t="e">
        <f>AND(Versiones!ET4,"AAAAAGfPPa4=")</f>
        <v>#VALUE!</v>
      </c>
      <c r="FT10" s="123" t="e">
        <f>AND(Versiones!EU4,"AAAAAGfPPa8=")</f>
        <v>#VALUE!</v>
      </c>
      <c r="FU10" s="123" t="e">
        <f>AND(Versiones!EV4,"AAAAAGfPPbA=")</f>
        <v>#VALUE!</v>
      </c>
      <c r="FV10" s="123" t="e">
        <f>AND(Versiones!EW4,"AAAAAGfPPbE=")</f>
        <v>#VALUE!</v>
      </c>
      <c r="FW10" s="123" t="e">
        <f>AND(Versiones!EX4,"AAAAAGfPPbI=")</f>
        <v>#VALUE!</v>
      </c>
      <c r="FX10" s="123" t="e">
        <f>AND(Versiones!EY4,"AAAAAGfPPbM=")</f>
        <v>#VALUE!</v>
      </c>
      <c r="FY10" s="123" t="e">
        <f>AND(Versiones!EZ4,"AAAAAGfPPbQ=")</f>
        <v>#VALUE!</v>
      </c>
      <c r="FZ10" s="123" t="e">
        <f>AND(Versiones!FA4,"AAAAAGfPPbU=")</f>
        <v>#VALUE!</v>
      </c>
      <c r="GA10" s="123" t="e">
        <f>AND(Versiones!FB4,"AAAAAGfPPbY=")</f>
        <v>#VALUE!</v>
      </c>
      <c r="GB10" s="123" t="e">
        <f>AND(Versiones!FC4,"AAAAAGfPPbc=")</f>
        <v>#VALUE!</v>
      </c>
      <c r="GC10" s="123" t="e">
        <f>AND(Versiones!FD4,"AAAAAGfPPbg=")</f>
        <v>#VALUE!</v>
      </c>
      <c r="GD10" s="123" t="e">
        <f>AND(Versiones!FE4,"AAAAAGfPPbk=")</f>
        <v>#VALUE!</v>
      </c>
      <c r="GE10" s="123" t="e">
        <f>AND(Versiones!FF4,"AAAAAGfPPbo=")</f>
        <v>#VALUE!</v>
      </c>
      <c r="GF10" s="123" t="e">
        <f>AND(Versiones!FG4,"AAAAAGfPPbs=")</f>
        <v>#VALUE!</v>
      </c>
      <c r="GG10" s="123" t="e">
        <f>AND(Versiones!FH4,"AAAAAGfPPbw=")</f>
        <v>#VALUE!</v>
      </c>
      <c r="GH10" s="123" t="e">
        <f>AND(Versiones!FI4,"AAAAAGfPPb0=")</f>
        <v>#VALUE!</v>
      </c>
      <c r="GI10" s="123" t="e">
        <f>AND(Versiones!FJ4,"AAAAAGfPPb4=")</f>
        <v>#VALUE!</v>
      </c>
      <c r="GJ10" s="123" t="e">
        <f>AND(Versiones!FK4,"AAAAAGfPPb8=")</f>
        <v>#VALUE!</v>
      </c>
      <c r="GK10" s="123" t="e">
        <f>AND(Versiones!FL4,"AAAAAGfPPcA=")</f>
        <v>#VALUE!</v>
      </c>
      <c r="GL10" s="123" t="e">
        <f>AND(Versiones!FM4,"AAAAAGfPPcE=")</f>
        <v>#VALUE!</v>
      </c>
      <c r="GM10" s="123" t="e">
        <f>AND(Versiones!FN4,"AAAAAGfPPcI=")</f>
        <v>#VALUE!</v>
      </c>
      <c r="GN10" s="123" t="e">
        <f>AND(Versiones!FO4,"AAAAAGfPPcM=")</f>
        <v>#VALUE!</v>
      </c>
      <c r="GO10" s="123" t="e">
        <f>AND(Versiones!FP4,"AAAAAGfPPcQ=")</f>
        <v>#VALUE!</v>
      </c>
      <c r="GP10" s="123" t="e">
        <f>AND(Versiones!FQ4,"AAAAAGfPPcU=")</f>
        <v>#VALUE!</v>
      </c>
      <c r="GQ10" s="123" t="e">
        <f>AND(Versiones!FR4,"AAAAAGfPPcY=")</f>
        <v>#VALUE!</v>
      </c>
      <c r="GR10" s="123" t="e">
        <f>AND(Versiones!FS4,"AAAAAGfPPcc=")</f>
        <v>#VALUE!</v>
      </c>
      <c r="GS10" s="123" t="e">
        <f>AND(Versiones!FT4,"AAAAAGfPPcg=")</f>
        <v>#VALUE!</v>
      </c>
      <c r="GT10" s="123" t="e">
        <f>AND(Versiones!FU4,"AAAAAGfPPck=")</f>
        <v>#VALUE!</v>
      </c>
      <c r="GU10" s="123" t="e">
        <f>AND(Versiones!FV4,"AAAAAGfPPco=")</f>
        <v>#VALUE!</v>
      </c>
      <c r="GV10" s="123" t="e">
        <f>AND(Versiones!FW4,"AAAAAGfPPcs=")</f>
        <v>#VALUE!</v>
      </c>
      <c r="GW10" s="123" t="e">
        <f>AND(Versiones!FX4,"AAAAAGfPPcw=")</f>
        <v>#VALUE!</v>
      </c>
      <c r="GX10" s="123" t="e">
        <f>AND(Versiones!FY4,"AAAAAGfPPc0=")</f>
        <v>#VALUE!</v>
      </c>
      <c r="GY10" s="123" t="e">
        <f>AND(Versiones!FZ4,"AAAAAGfPPc4=")</f>
        <v>#VALUE!</v>
      </c>
      <c r="GZ10" s="123" t="e">
        <f>AND(Versiones!GA4,"AAAAAGfPPc8=")</f>
        <v>#VALUE!</v>
      </c>
      <c r="HA10" s="123" t="e">
        <f>AND(Versiones!GB4,"AAAAAGfPPdA=")</f>
        <v>#VALUE!</v>
      </c>
      <c r="HB10" s="123" t="e">
        <f>AND(Versiones!GC4,"AAAAAGfPPdE=")</f>
        <v>#VALUE!</v>
      </c>
      <c r="HC10" s="123" t="e">
        <f>AND(Versiones!GD4,"AAAAAGfPPdI=")</f>
        <v>#VALUE!</v>
      </c>
      <c r="HD10" s="123" t="e">
        <f>AND(Versiones!GE4,"AAAAAGfPPdM=")</f>
        <v>#VALUE!</v>
      </c>
      <c r="HE10" s="123" t="e">
        <f>AND(Versiones!GF4,"AAAAAGfPPdQ=")</f>
        <v>#VALUE!</v>
      </c>
      <c r="HF10" s="123" t="e">
        <f>AND(Versiones!GG4,"AAAAAGfPPdU=")</f>
        <v>#VALUE!</v>
      </c>
      <c r="HG10" s="123" t="e">
        <f>AND(Versiones!GH4,"AAAAAGfPPdY=")</f>
        <v>#VALUE!</v>
      </c>
      <c r="HH10" s="123" t="e">
        <f>AND(Versiones!GI4,"AAAAAGfPPdc=")</f>
        <v>#VALUE!</v>
      </c>
      <c r="HI10" s="123" t="e">
        <f>AND(Versiones!GJ4,"AAAAAGfPPdg=")</f>
        <v>#VALUE!</v>
      </c>
      <c r="HJ10" s="123" t="e">
        <f>AND(Versiones!GK4,"AAAAAGfPPdk=")</f>
        <v>#VALUE!</v>
      </c>
      <c r="HK10" s="123" t="e">
        <f>AND(Versiones!GL4,"AAAAAGfPPdo=")</f>
        <v>#VALUE!</v>
      </c>
      <c r="HL10" s="123" t="e">
        <f>AND(Versiones!GM4,"AAAAAGfPPds=")</f>
        <v>#VALUE!</v>
      </c>
      <c r="HM10" s="123" t="e">
        <f>AND(Versiones!GN4,"AAAAAGfPPdw=")</f>
        <v>#VALUE!</v>
      </c>
      <c r="HN10" s="123" t="e">
        <f>AND(Versiones!GO4,"AAAAAGfPPd0=")</f>
        <v>#VALUE!</v>
      </c>
      <c r="HO10" s="123" t="e">
        <f>AND(Versiones!GP4,"AAAAAGfPPd4=")</f>
        <v>#VALUE!</v>
      </c>
      <c r="HP10" s="123" t="e">
        <f>AND(Versiones!GQ4,"AAAAAGfPPd8=")</f>
        <v>#VALUE!</v>
      </c>
      <c r="HQ10" s="123" t="e">
        <f>AND(Versiones!GR4,"AAAAAGfPPeA=")</f>
        <v>#VALUE!</v>
      </c>
      <c r="HR10" s="123" t="e">
        <f>AND(Versiones!GS4,"AAAAAGfPPeE=")</f>
        <v>#VALUE!</v>
      </c>
      <c r="HS10" s="123" t="e">
        <f>AND(Versiones!GT4,"AAAAAGfPPeI=")</f>
        <v>#VALUE!</v>
      </c>
      <c r="HT10" s="123" t="e">
        <f>AND(Versiones!GU4,"AAAAAGfPPeM=")</f>
        <v>#VALUE!</v>
      </c>
      <c r="HU10" s="123" t="e">
        <f>AND(Versiones!GV4,"AAAAAGfPPeQ=")</f>
        <v>#VALUE!</v>
      </c>
      <c r="HV10" s="123" t="e">
        <f>AND(Versiones!GW4,"AAAAAGfPPeU=")</f>
        <v>#VALUE!</v>
      </c>
      <c r="HW10" s="123" t="e">
        <f>AND(Versiones!GX4,"AAAAAGfPPeY=")</f>
        <v>#VALUE!</v>
      </c>
      <c r="HX10" s="123" t="e">
        <f>AND(Versiones!GY4,"AAAAAGfPPec=")</f>
        <v>#VALUE!</v>
      </c>
      <c r="HY10" s="123" t="e">
        <f>AND(Versiones!GZ4,"AAAAAGfPPeg=")</f>
        <v>#VALUE!</v>
      </c>
      <c r="HZ10" s="123" t="e">
        <f>AND(Versiones!HA4,"AAAAAGfPPek=")</f>
        <v>#VALUE!</v>
      </c>
      <c r="IA10" s="123" t="e">
        <f>AND(Versiones!HB4,"AAAAAGfPPeo=")</f>
        <v>#VALUE!</v>
      </c>
      <c r="IB10" s="123" t="e">
        <f>AND(Versiones!HC4,"AAAAAGfPPes=")</f>
        <v>#VALUE!</v>
      </c>
      <c r="IC10" s="123" t="e">
        <f>AND(Versiones!HD4,"AAAAAGfPPew=")</f>
        <v>#VALUE!</v>
      </c>
      <c r="ID10" s="123" t="e">
        <f>AND(Versiones!HE4,"AAAAAGfPPe0=")</f>
        <v>#VALUE!</v>
      </c>
      <c r="IE10" s="123" t="e">
        <f>AND(Versiones!HF4,"AAAAAGfPPe4=")</f>
        <v>#VALUE!</v>
      </c>
      <c r="IF10" s="123" t="e">
        <f>AND(Versiones!HG4,"AAAAAGfPPe8=")</f>
        <v>#VALUE!</v>
      </c>
      <c r="IG10" s="123" t="e">
        <f>AND(Versiones!HH4,"AAAAAGfPPfA=")</f>
        <v>#VALUE!</v>
      </c>
      <c r="IH10" s="123" t="e">
        <f>AND(Versiones!HI4,"AAAAAGfPPfE=")</f>
        <v>#VALUE!</v>
      </c>
      <c r="II10" s="123">
        <f>IF(Versiones!5:5,"AAAAAGfPPfI=",0)</f>
        <v>0</v>
      </c>
      <c r="IJ10" s="123" t="e">
        <f>AND(Versiones!A5,"AAAAAGfPPfM=")</f>
        <v>#VALUE!</v>
      </c>
      <c r="IK10" s="123" t="e">
        <f>AND(Versiones!B5,"AAAAAGfPPfQ=")</f>
        <v>#VALUE!</v>
      </c>
      <c r="IL10" s="123" t="e">
        <f>AND(Versiones!C5,"AAAAAGfPPfU=")</f>
        <v>#VALUE!</v>
      </c>
      <c r="IM10" s="123" t="e">
        <f>AND(Versiones!D5,"AAAAAGfPPfY=")</f>
        <v>#VALUE!</v>
      </c>
      <c r="IN10" s="123" t="e">
        <f>AND(Versiones!E5,"AAAAAGfPPfc=")</f>
        <v>#VALUE!</v>
      </c>
      <c r="IO10" s="123" t="e">
        <f>AND(Versiones!F5,"AAAAAGfPPfg=")</f>
        <v>#VALUE!</v>
      </c>
      <c r="IP10" s="123" t="e">
        <f>AND(Versiones!#REF!,"AAAAAGfPPfk=")</f>
        <v>#REF!</v>
      </c>
      <c r="IQ10" s="123" t="e">
        <f>AND(Versiones!G5,"AAAAAGfPPfo=")</f>
        <v>#VALUE!</v>
      </c>
      <c r="IR10" s="123" t="e">
        <f>AND(Versiones!H5,"AAAAAGfPPfs=")</f>
        <v>#VALUE!</v>
      </c>
      <c r="IS10" s="123" t="e">
        <f>AND(Versiones!I5,"AAAAAGfPPfw=")</f>
        <v>#VALUE!</v>
      </c>
      <c r="IT10" s="123" t="e">
        <f>AND(Versiones!J5,"AAAAAGfPPf0=")</f>
        <v>#VALUE!</v>
      </c>
      <c r="IU10" s="123" t="e">
        <f>AND(Versiones!K5,"AAAAAGfPPf4=")</f>
        <v>#VALUE!</v>
      </c>
      <c r="IV10" s="123" t="e">
        <f>AND(Versiones!L5,"AAAAAGfPPf8=")</f>
        <v>#VALUE!</v>
      </c>
    </row>
    <row r="11" spans="1:256" ht="14.4">
      <c r="A11" s="123" t="e">
        <f>AND(Versiones!M5,"AAAAAD/D2gA=")</f>
        <v>#VALUE!</v>
      </c>
      <c r="B11" s="123" t="e">
        <f>AND(Versiones!N5,"AAAAAD/D2gE=")</f>
        <v>#VALUE!</v>
      </c>
      <c r="C11" s="123" t="e">
        <f>AND(Versiones!O5,"AAAAAD/D2gI=")</f>
        <v>#VALUE!</v>
      </c>
      <c r="D11" s="123" t="e">
        <f>AND(Versiones!P5,"AAAAAD/D2gM=")</f>
        <v>#VALUE!</v>
      </c>
      <c r="E11" s="123" t="e">
        <f>AND(Versiones!Q5,"AAAAAD/D2gQ=")</f>
        <v>#VALUE!</v>
      </c>
      <c r="F11" s="123" t="e">
        <f>AND(Versiones!R5,"AAAAAD/D2gU=")</f>
        <v>#VALUE!</v>
      </c>
      <c r="G11" s="123" t="e">
        <f>AND(Versiones!S5,"AAAAAD/D2gY=")</f>
        <v>#VALUE!</v>
      </c>
      <c r="H11" s="123" t="e">
        <f>AND(Versiones!T5,"AAAAAD/D2gc=")</f>
        <v>#VALUE!</v>
      </c>
      <c r="I11" s="123" t="e">
        <f>AND(Versiones!U5,"AAAAAD/D2gg=")</f>
        <v>#VALUE!</v>
      </c>
      <c r="J11" s="123" t="e">
        <f>AND(Versiones!V5,"AAAAAD/D2gk=")</f>
        <v>#VALUE!</v>
      </c>
      <c r="K11" s="123" t="e">
        <f>AND(Versiones!W5,"AAAAAD/D2go=")</f>
        <v>#VALUE!</v>
      </c>
      <c r="L11" s="123" t="e">
        <f>AND(Versiones!X5,"AAAAAD/D2gs=")</f>
        <v>#VALUE!</v>
      </c>
      <c r="M11" s="123" t="e">
        <f>AND(Versiones!Y5,"AAAAAD/D2gw=")</f>
        <v>#VALUE!</v>
      </c>
      <c r="N11" s="123" t="e">
        <f>AND(Versiones!Z5,"AAAAAD/D2g0=")</f>
        <v>#VALUE!</v>
      </c>
      <c r="O11" s="123" t="e">
        <f>AND(Versiones!AA5,"AAAAAD/D2g4=")</f>
        <v>#VALUE!</v>
      </c>
      <c r="P11" s="123" t="e">
        <f>AND(Versiones!AB5,"AAAAAD/D2g8=")</f>
        <v>#VALUE!</v>
      </c>
      <c r="Q11" s="123" t="e">
        <f>AND(Versiones!AC5,"AAAAAD/D2hA=")</f>
        <v>#VALUE!</v>
      </c>
      <c r="R11" s="123" t="e">
        <f>AND(Versiones!AD5,"AAAAAD/D2hE=")</f>
        <v>#VALUE!</v>
      </c>
      <c r="S11" s="123" t="e">
        <f>AND(Versiones!AE5,"AAAAAD/D2hI=")</f>
        <v>#VALUE!</v>
      </c>
      <c r="T11" s="123" t="e">
        <f>AND(Versiones!AF5,"AAAAAD/D2hM=")</f>
        <v>#VALUE!</v>
      </c>
      <c r="U11" s="123" t="e">
        <f>AND(Versiones!AG5,"AAAAAD/D2hQ=")</f>
        <v>#VALUE!</v>
      </c>
      <c r="V11" s="123" t="e">
        <f>AND(Versiones!AH5,"AAAAAD/D2hU=")</f>
        <v>#VALUE!</v>
      </c>
      <c r="W11" s="123" t="e">
        <f>AND(Versiones!AI5,"AAAAAD/D2hY=")</f>
        <v>#VALUE!</v>
      </c>
      <c r="X11" s="123" t="e">
        <f>AND(Versiones!AJ5,"AAAAAD/D2hc=")</f>
        <v>#VALUE!</v>
      </c>
      <c r="Y11" s="123" t="e">
        <f>AND(Versiones!AK5,"AAAAAD/D2hg=")</f>
        <v>#VALUE!</v>
      </c>
      <c r="Z11" s="123" t="e">
        <f>AND(Versiones!AL5,"AAAAAD/D2hk=")</f>
        <v>#VALUE!</v>
      </c>
      <c r="AA11" s="123" t="e">
        <f>AND(Versiones!AM5,"AAAAAD/D2ho=")</f>
        <v>#VALUE!</v>
      </c>
      <c r="AB11" s="123" t="e">
        <f>AND(Versiones!AN5,"AAAAAD/D2hs=")</f>
        <v>#VALUE!</v>
      </c>
      <c r="AC11" s="123" t="e">
        <f>AND(Versiones!AO5,"AAAAAD/D2hw=")</f>
        <v>#VALUE!</v>
      </c>
      <c r="AD11" s="123" t="e">
        <f>AND(Versiones!AP5,"AAAAAD/D2h0=")</f>
        <v>#VALUE!</v>
      </c>
      <c r="AE11" s="123" t="e">
        <f>AND(Versiones!AQ5,"AAAAAD/D2h4=")</f>
        <v>#VALUE!</v>
      </c>
      <c r="AF11" s="123" t="e">
        <f>AND(Versiones!AR5,"AAAAAD/D2h8=")</f>
        <v>#VALUE!</v>
      </c>
      <c r="AG11" s="123" t="e">
        <f>AND(Versiones!AS5,"AAAAAD/D2iA=")</f>
        <v>#VALUE!</v>
      </c>
      <c r="AH11" s="123" t="e">
        <f>AND(Versiones!AT5,"AAAAAD/D2iE=")</f>
        <v>#VALUE!</v>
      </c>
      <c r="AI11" s="123" t="e">
        <f>AND(Versiones!AU5,"AAAAAD/D2iI=")</f>
        <v>#VALUE!</v>
      </c>
      <c r="AJ11" s="123" t="e">
        <f>AND(Versiones!AV5,"AAAAAD/D2iM=")</f>
        <v>#VALUE!</v>
      </c>
      <c r="AK11" s="123" t="e">
        <f>AND(Versiones!AW5,"AAAAAD/D2iQ=")</f>
        <v>#VALUE!</v>
      </c>
      <c r="AL11" s="123" t="e">
        <f>AND(Versiones!AX5,"AAAAAD/D2iU=")</f>
        <v>#VALUE!</v>
      </c>
      <c r="AM11" s="123" t="e">
        <f>AND(Versiones!AY5,"AAAAAD/D2iY=")</f>
        <v>#VALUE!</v>
      </c>
      <c r="AN11" s="123" t="e">
        <f>AND(Versiones!AZ5,"AAAAAD/D2ic=")</f>
        <v>#VALUE!</v>
      </c>
      <c r="AO11" s="123" t="e">
        <f>AND(Versiones!BA5,"AAAAAD/D2ig=")</f>
        <v>#VALUE!</v>
      </c>
      <c r="AP11" s="123" t="e">
        <f>AND(Versiones!BB5,"AAAAAD/D2ik=")</f>
        <v>#VALUE!</v>
      </c>
      <c r="AQ11" s="123" t="e">
        <f>AND(Versiones!BC5,"AAAAAD/D2io=")</f>
        <v>#VALUE!</v>
      </c>
      <c r="AR11" s="123" t="e">
        <f>AND(Versiones!BD5,"AAAAAD/D2is=")</f>
        <v>#VALUE!</v>
      </c>
      <c r="AS11" s="123" t="e">
        <f>AND(Versiones!BE5,"AAAAAD/D2iw=")</f>
        <v>#VALUE!</v>
      </c>
      <c r="AT11" s="123" t="e">
        <f>AND(Versiones!BF5,"AAAAAD/D2i0=")</f>
        <v>#VALUE!</v>
      </c>
      <c r="AU11" s="123" t="e">
        <f>AND(Versiones!BG5,"AAAAAD/D2i4=")</f>
        <v>#VALUE!</v>
      </c>
      <c r="AV11" s="123" t="e">
        <f>AND(Versiones!BH5,"AAAAAD/D2i8=")</f>
        <v>#VALUE!</v>
      </c>
      <c r="AW11" s="123" t="e">
        <f>AND(Versiones!BI5,"AAAAAD/D2jA=")</f>
        <v>#VALUE!</v>
      </c>
      <c r="AX11" s="123" t="e">
        <f>AND(Versiones!BJ5,"AAAAAD/D2jE=")</f>
        <v>#VALUE!</v>
      </c>
      <c r="AY11" s="123" t="e">
        <f>AND(Versiones!BK5,"AAAAAD/D2jI=")</f>
        <v>#VALUE!</v>
      </c>
      <c r="AZ11" s="123" t="e">
        <f>AND(Versiones!BL5,"AAAAAD/D2jM=")</f>
        <v>#VALUE!</v>
      </c>
      <c r="BA11" s="123" t="e">
        <f>AND(Versiones!BM5,"AAAAAD/D2jQ=")</f>
        <v>#VALUE!</v>
      </c>
      <c r="BB11" s="123" t="e">
        <f>AND(Versiones!BN5,"AAAAAD/D2jU=")</f>
        <v>#VALUE!</v>
      </c>
      <c r="BC11" s="123" t="e">
        <f>AND(Versiones!BO5,"AAAAAD/D2jY=")</f>
        <v>#VALUE!</v>
      </c>
      <c r="BD11" s="123" t="e">
        <f>AND(Versiones!BP5,"AAAAAD/D2jc=")</f>
        <v>#VALUE!</v>
      </c>
      <c r="BE11" s="123" t="e">
        <f>AND(Versiones!BQ5,"AAAAAD/D2jg=")</f>
        <v>#VALUE!</v>
      </c>
      <c r="BF11" s="123" t="e">
        <f>AND(Versiones!BR5,"AAAAAD/D2jk=")</f>
        <v>#VALUE!</v>
      </c>
      <c r="BG11" s="123" t="e">
        <f>AND(Versiones!BS5,"AAAAAD/D2jo=")</f>
        <v>#VALUE!</v>
      </c>
      <c r="BH11" s="123" t="e">
        <f>AND(Versiones!BT5,"AAAAAD/D2js=")</f>
        <v>#VALUE!</v>
      </c>
      <c r="BI11" s="123" t="e">
        <f>AND(Versiones!BU5,"AAAAAD/D2jw=")</f>
        <v>#VALUE!</v>
      </c>
      <c r="BJ11" s="123" t="e">
        <f>AND(Versiones!BV5,"AAAAAD/D2j0=")</f>
        <v>#VALUE!</v>
      </c>
      <c r="BK11" s="123" t="e">
        <f>AND(Versiones!BW5,"AAAAAD/D2j4=")</f>
        <v>#VALUE!</v>
      </c>
      <c r="BL11" s="123" t="e">
        <f>AND(Versiones!BX5,"AAAAAD/D2j8=")</f>
        <v>#VALUE!</v>
      </c>
      <c r="BM11" s="123" t="e">
        <f>AND(Versiones!BY5,"AAAAAD/D2kA=")</f>
        <v>#VALUE!</v>
      </c>
      <c r="BN11" s="123" t="e">
        <f>AND(Versiones!BZ5,"AAAAAD/D2kE=")</f>
        <v>#VALUE!</v>
      </c>
      <c r="BO11" s="123" t="e">
        <f>AND(Versiones!CA5,"AAAAAD/D2kI=")</f>
        <v>#VALUE!</v>
      </c>
      <c r="BP11" s="123" t="e">
        <f>AND(Versiones!CB5,"AAAAAD/D2kM=")</f>
        <v>#VALUE!</v>
      </c>
      <c r="BQ11" s="123" t="e">
        <f>AND(Versiones!CC5,"AAAAAD/D2kQ=")</f>
        <v>#VALUE!</v>
      </c>
      <c r="BR11" s="123" t="e">
        <f>AND(Versiones!CD5,"AAAAAD/D2kU=")</f>
        <v>#VALUE!</v>
      </c>
      <c r="BS11" s="123" t="e">
        <f>AND(Versiones!CE5,"AAAAAD/D2kY=")</f>
        <v>#VALUE!</v>
      </c>
      <c r="BT11" s="123" t="e">
        <f>AND(Versiones!CF5,"AAAAAD/D2kc=")</f>
        <v>#VALUE!</v>
      </c>
      <c r="BU11" s="123" t="e">
        <f>AND(Versiones!CG5,"AAAAAD/D2kg=")</f>
        <v>#VALUE!</v>
      </c>
      <c r="BV11" s="123" t="e">
        <f>AND(Versiones!CH5,"AAAAAD/D2kk=")</f>
        <v>#VALUE!</v>
      </c>
      <c r="BW11" s="123" t="e">
        <f>AND(Versiones!CI5,"AAAAAD/D2ko=")</f>
        <v>#VALUE!</v>
      </c>
      <c r="BX11" s="123" t="e">
        <f>AND(Versiones!CJ5,"AAAAAD/D2ks=")</f>
        <v>#VALUE!</v>
      </c>
      <c r="BY11" s="123" t="e">
        <f>AND(Versiones!CK5,"AAAAAD/D2kw=")</f>
        <v>#VALUE!</v>
      </c>
      <c r="BZ11" s="123" t="e">
        <f>AND(Versiones!CL5,"AAAAAD/D2k0=")</f>
        <v>#VALUE!</v>
      </c>
      <c r="CA11" s="123" t="e">
        <f>AND(Versiones!CM5,"AAAAAD/D2k4=")</f>
        <v>#VALUE!</v>
      </c>
      <c r="CB11" s="123" t="e">
        <f>AND(Versiones!CN5,"AAAAAD/D2k8=")</f>
        <v>#VALUE!</v>
      </c>
      <c r="CC11" s="123" t="e">
        <f>AND(Versiones!CO5,"AAAAAD/D2lA=")</f>
        <v>#VALUE!</v>
      </c>
      <c r="CD11" s="123" t="e">
        <f>AND(Versiones!CP5,"AAAAAD/D2lE=")</f>
        <v>#VALUE!</v>
      </c>
      <c r="CE11" s="123" t="e">
        <f>AND(Versiones!CQ5,"AAAAAD/D2lI=")</f>
        <v>#VALUE!</v>
      </c>
      <c r="CF11" s="123" t="e">
        <f>AND(Versiones!CR5,"AAAAAD/D2lM=")</f>
        <v>#VALUE!</v>
      </c>
      <c r="CG11" s="123" t="e">
        <f>AND(Versiones!CS5,"AAAAAD/D2lQ=")</f>
        <v>#VALUE!</v>
      </c>
      <c r="CH11" s="123" t="e">
        <f>AND(Versiones!CT5,"AAAAAD/D2lU=")</f>
        <v>#VALUE!</v>
      </c>
      <c r="CI11" s="123" t="e">
        <f>AND(Versiones!CU5,"AAAAAD/D2lY=")</f>
        <v>#VALUE!</v>
      </c>
      <c r="CJ11" s="123" t="e">
        <f>AND(Versiones!CV5,"AAAAAD/D2lc=")</f>
        <v>#VALUE!</v>
      </c>
      <c r="CK11" s="123" t="e">
        <f>AND(Versiones!CW5,"AAAAAD/D2lg=")</f>
        <v>#VALUE!</v>
      </c>
      <c r="CL11" s="123" t="e">
        <f>AND(Versiones!CX5,"AAAAAD/D2lk=")</f>
        <v>#VALUE!</v>
      </c>
      <c r="CM11" s="123" t="e">
        <f>AND(Versiones!CY5,"AAAAAD/D2lo=")</f>
        <v>#VALUE!</v>
      </c>
      <c r="CN11" s="123" t="e">
        <f>AND(Versiones!CZ5,"AAAAAD/D2ls=")</f>
        <v>#VALUE!</v>
      </c>
      <c r="CO11" s="123" t="e">
        <f>AND(Versiones!DA5,"AAAAAD/D2lw=")</f>
        <v>#VALUE!</v>
      </c>
      <c r="CP11" s="123" t="e">
        <f>AND(Versiones!DB5,"AAAAAD/D2l0=")</f>
        <v>#VALUE!</v>
      </c>
      <c r="CQ11" s="123" t="e">
        <f>AND(Versiones!DC5,"AAAAAD/D2l4=")</f>
        <v>#VALUE!</v>
      </c>
      <c r="CR11" s="123" t="e">
        <f>AND(Versiones!DD5,"AAAAAD/D2l8=")</f>
        <v>#VALUE!</v>
      </c>
      <c r="CS11" s="123" t="e">
        <f>AND(Versiones!DE5,"AAAAAD/D2mA=")</f>
        <v>#VALUE!</v>
      </c>
      <c r="CT11" s="123" t="e">
        <f>AND(Versiones!DF5,"AAAAAD/D2mE=")</f>
        <v>#VALUE!</v>
      </c>
      <c r="CU11" s="123" t="e">
        <f>AND(Versiones!DG5,"AAAAAD/D2mI=")</f>
        <v>#VALUE!</v>
      </c>
      <c r="CV11" s="123" t="e">
        <f>AND(Versiones!DH5,"AAAAAD/D2mM=")</f>
        <v>#VALUE!</v>
      </c>
      <c r="CW11" s="123" t="e">
        <f>AND(Versiones!DI5,"AAAAAD/D2mQ=")</f>
        <v>#VALUE!</v>
      </c>
      <c r="CX11" s="123" t="e">
        <f>AND(Versiones!DJ5,"AAAAAD/D2mU=")</f>
        <v>#VALUE!</v>
      </c>
      <c r="CY11" s="123" t="e">
        <f>AND(Versiones!DK5,"AAAAAD/D2mY=")</f>
        <v>#VALUE!</v>
      </c>
      <c r="CZ11" s="123" t="e">
        <f>AND(Versiones!DL5,"AAAAAD/D2mc=")</f>
        <v>#VALUE!</v>
      </c>
      <c r="DA11" s="123" t="e">
        <f>AND(Versiones!DM5,"AAAAAD/D2mg=")</f>
        <v>#VALUE!</v>
      </c>
      <c r="DB11" s="123" t="e">
        <f>AND(Versiones!DN5,"AAAAAD/D2mk=")</f>
        <v>#VALUE!</v>
      </c>
      <c r="DC11" s="123" t="e">
        <f>AND(Versiones!DO5,"AAAAAD/D2mo=")</f>
        <v>#VALUE!</v>
      </c>
      <c r="DD11" s="123" t="e">
        <f>AND(Versiones!DP5,"AAAAAD/D2ms=")</f>
        <v>#VALUE!</v>
      </c>
      <c r="DE11" s="123" t="e">
        <f>AND(Versiones!DQ5,"AAAAAD/D2mw=")</f>
        <v>#VALUE!</v>
      </c>
      <c r="DF11" s="123" t="e">
        <f>AND(Versiones!DR5,"AAAAAD/D2m0=")</f>
        <v>#VALUE!</v>
      </c>
      <c r="DG11" s="123" t="e">
        <f>AND(Versiones!DS5,"AAAAAD/D2m4=")</f>
        <v>#VALUE!</v>
      </c>
      <c r="DH11" s="123" t="e">
        <f>AND(Versiones!DT5,"AAAAAD/D2m8=")</f>
        <v>#VALUE!</v>
      </c>
      <c r="DI11" s="123" t="e">
        <f>AND(Versiones!DU5,"AAAAAD/D2nA=")</f>
        <v>#VALUE!</v>
      </c>
      <c r="DJ11" s="123" t="e">
        <f>AND(Versiones!DV5,"AAAAAD/D2nE=")</f>
        <v>#VALUE!</v>
      </c>
      <c r="DK11" s="123" t="e">
        <f>AND(Versiones!DW5,"AAAAAD/D2nI=")</f>
        <v>#VALUE!</v>
      </c>
      <c r="DL11" s="123" t="e">
        <f>AND(Versiones!DX5,"AAAAAD/D2nM=")</f>
        <v>#VALUE!</v>
      </c>
      <c r="DM11" s="123" t="e">
        <f>AND(Versiones!DY5,"AAAAAD/D2nQ=")</f>
        <v>#VALUE!</v>
      </c>
      <c r="DN11" s="123" t="e">
        <f>AND(Versiones!DZ5,"AAAAAD/D2nU=")</f>
        <v>#VALUE!</v>
      </c>
      <c r="DO11" s="123" t="e">
        <f>AND(Versiones!EA5,"AAAAAD/D2nY=")</f>
        <v>#VALUE!</v>
      </c>
      <c r="DP11" s="123" t="e">
        <f>AND(Versiones!EB5,"AAAAAD/D2nc=")</f>
        <v>#VALUE!</v>
      </c>
      <c r="DQ11" s="123" t="e">
        <f>AND(Versiones!EC5,"AAAAAD/D2ng=")</f>
        <v>#VALUE!</v>
      </c>
      <c r="DR11" s="123" t="e">
        <f>AND(Versiones!ED5,"AAAAAD/D2nk=")</f>
        <v>#VALUE!</v>
      </c>
      <c r="DS11" s="123" t="e">
        <f>AND(Versiones!EE5,"AAAAAD/D2no=")</f>
        <v>#VALUE!</v>
      </c>
      <c r="DT11" s="123" t="e">
        <f>AND(Versiones!EF5,"AAAAAD/D2ns=")</f>
        <v>#VALUE!</v>
      </c>
      <c r="DU11" s="123" t="e">
        <f>AND(Versiones!EG5,"AAAAAD/D2nw=")</f>
        <v>#VALUE!</v>
      </c>
      <c r="DV11" s="123" t="e">
        <f>AND(Versiones!EH5,"AAAAAD/D2n0=")</f>
        <v>#VALUE!</v>
      </c>
      <c r="DW11" s="123" t="e">
        <f>AND(Versiones!EI5,"AAAAAD/D2n4=")</f>
        <v>#VALUE!</v>
      </c>
      <c r="DX11" s="123" t="e">
        <f>AND(Versiones!EJ5,"AAAAAD/D2n8=")</f>
        <v>#VALUE!</v>
      </c>
      <c r="DY11" s="123" t="e">
        <f>AND(Versiones!EK5,"AAAAAD/D2oA=")</f>
        <v>#VALUE!</v>
      </c>
      <c r="DZ11" s="123" t="e">
        <f>AND(Versiones!EL5,"AAAAAD/D2oE=")</f>
        <v>#VALUE!</v>
      </c>
      <c r="EA11" s="123" t="e">
        <f>AND(Versiones!EM5,"AAAAAD/D2oI=")</f>
        <v>#VALUE!</v>
      </c>
      <c r="EB11" s="123" t="e">
        <f>AND(Versiones!EN5,"AAAAAD/D2oM=")</f>
        <v>#VALUE!</v>
      </c>
      <c r="EC11" s="123" t="e">
        <f>AND(Versiones!EO5,"AAAAAD/D2oQ=")</f>
        <v>#VALUE!</v>
      </c>
      <c r="ED11" s="123" t="e">
        <f>AND(Versiones!EP5,"AAAAAD/D2oU=")</f>
        <v>#VALUE!</v>
      </c>
      <c r="EE11" s="123" t="e">
        <f>AND(Versiones!EQ5,"AAAAAD/D2oY=")</f>
        <v>#VALUE!</v>
      </c>
      <c r="EF11" s="123" t="e">
        <f>AND(Versiones!ER5,"AAAAAD/D2oc=")</f>
        <v>#VALUE!</v>
      </c>
      <c r="EG11" s="123" t="e">
        <f>AND(Versiones!ES5,"AAAAAD/D2og=")</f>
        <v>#VALUE!</v>
      </c>
      <c r="EH11" s="123" t="e">
        <f>AND(Versiones!ET5,"AAAAAD/D2ok=")</f>
        <v>#VALUE!</v>
      </c>
      <c r="EI11" s="123" t="e">
        <f>AND(Versiones!EU5,"AAAAAD/D2oo=")</f>
        <v>#VALUE!</v>
      </c>
      <c r="EJ11" s="123" t="e">
        <f>AND(Versiones!EV5,"AAAAAD/D2os=")</f>
        <v>#VALUE!</v>
      </c>
      <c r="EK11" s="123" t="e">
        <f>AND(Versiones!EW5,"AAAAAD/D2ow=")</f>
        <v>#VALUE!</v>
      </c>
      <c r="EL11" s="123" t="e">
        <f>AND(Versiones!EX5,"AAAAAD/D2o0=")</f>
        <v>#VALUE!</v>
      </c>
      <c r="EM11" s="123" t="e">
        <f>AND(Versiones!EY5,"AAAAAD/D2o4=")</f>
        <v>#VALUE!</v>
      </c>
      <c r="EN11" s="123" t="e">
        <f>AND(Versiones!EZ5,"AAAAAD/D2o8=")</f>
        <v>#VALUE!</v>
      </c>
      <c r="EO11" s="123" t="e">
        <f>AND(Versiones!FA5,"AAAAAD/D2pA=")</f>
        <v>#VALUE!</v>
      </c>
      <c r="EP11" s="123" t="e">
        <f>AND(Versiones!FB5,"AAAAAD/D2pE=")</f>
        <v>#VALUE!</v>
      </c>
      <c r="EQ11" s="123" t="e">
        <f>AND(Versiones!FC5,"AAAAAD/D2pI=")</f>
        <v>#VALUE!</v>
      </c>
      <c r="ER11" s="123" t="e">
        <f>AND(Versiones!FD5,"AAAAAD/D2pM=")</f>
        <v>#VALUE!</v>
      </c>
      <c r="ES11" s="123" t="e">
        <f>AND(Versiones!FE5,"AAAAAD/D2pQ=")</f>
        <v>#VALUE!</v>
      </c>
      <c r="ET11" s="123" t="e">
        <f>AND(Versiones!FF5,"AAAAAD/D2pU=")</f>
        <v>#VALUE!</v>
      </c>
      <c r="EU11" s="123" t="e">
        <f>AND(Versiones!FG5,"AAAAAD/D2pY=")</f>
        <v>#VALUE!</v>
      </c>
      <c r="EV11" s="123" t="e">
        <f>AND(Versiones!FH5,"AAAAAD/D2pc=")</f>
        <v>#VALUE!</v>
      </c>
      <c r="EW11" s="123" t="e">
        <f>AND(Versiones!FI5,"AAAAAD/D2pg=")</f>
        <v>#VALUE!</v>
      </c>
      <c r="EX11" s="123" t="e">
        <f>AND(Versiones!FJ5,"AAAAAD/D2pk=")</f>
        <v>#VALUE!</v>
      </c>
      <c r="EY11" s="123" t="e">
        <f>AND(Versiones!FK5,"AAAAAD/D2po=")</f>
        <v>#VALUE!</v>
      </c>
      <c r="EZ11" s="123" t="e">
        <f>AND(Versiones!FL5,"AAAAAD/D2ps=")</f>
        <v>#VALUE!</v>
      </c>
      <c r="FA11" s="123" t="e">
        <f>AND(Versiones!FM5,"AAAAAD/D2pw=")</f>
        <v>#VALUE!</v>
      </c>
      <c r="FB11" s="123" t="e">
        <f>AND(Versiones!FN5,"AAAAAD/D2p0=")</f>
        <v>#VALUE!</v>
      </c>
      <c r="FC11" s="123" t="e">
        <f>AND(Versiones!FO5,"AAAAAD/D2p4=")</f>
        <v>#VALUE!</v>
      </c>
      <c r="FD11" s="123" t="e">
        <f>AND(Versiones!FP5,"AAAAAD/D2p8=")</f>
        <v>#VALUE!</v>
      </c>
      <c r="FE11" s="123" t="e">
        <f>AND(Versiones!FQ5,"AAAAAD/D2qA=")</f>
        <v>#VALUE!</v>
      </c>
      <c r="FF11" s="123" t="e">
        <f>AND(Versiones!FR5,"AAAAAD/D2qE=")</f>
        <v>#VALUE!</v>
      </c>
      <c r="FG11" s="123" t="e">
        <f>AND(Versiones!FS5,"AAAAAD/D2qI=")</f>
        <v>#VALUE!</v>
      </c>
      <c r="FH11" s="123" t="e">
        <f>AND(Versiones!FT5,"AAAAAD/D2qM=")</f>
        <v>#VALUE!</v>
      </c>
      <c r="FI11" s="123" t="e">
        <f>AND(Versiones!FU5,"AAAAAD/D2qQ=")</f>
        <v>#VALUE!</v>
      </c>
      <c r="FJ11" s="123" t="e">
        <f>AND(Versiones!FV5,"AAAAAD/D2qU=")</f>
        <v>#VALUE!</v>
      </c>
      <c r="FK11" s="123" t="e">
        <f>AND(Versiones!FW5,"AAAAAD/D2qY=")</f>
        <v>#VALUE!</v>
      </c>
      <c r="FL11" s="123" t="e">
        <f>AND(Versiones!FX5,"AAAAAD/D2qc=")</f>
        <v>#VALUE!</v>
      </c>
      <c r="FM11" s="123" t="e">
        <f>AND(Versiones!FY5,"AAAAAD/D2qg=")</f>
        <v>#VALUE!</v>
      </c>
      <c r="FN11" s="123" t="e">
        <f>AND(Versiones!FZ5,"AAAAAD/D2qk=")</f>
        <v>#VALUE!</v>
      </c>
      <c r="FO11" s="123" t="e">
        <f>AND(Versiones!GA5,"AAAAAD/D2qo=")</f>
        <v>#VALUE!</v>
      </c>
      <c r="FP11" s="123" t="e">
        <f>AND(Versiones!GB5,"AAAAAD/D2qs=")</f>
        <v>#VALUE!</v>
      </c>
      <c r="FQ11" s="123" t="e">
        <f>AND(Versiones!GC5,"AAAAAD/D2qw=")</f>
        <v>#VALUE!</v>
      </c>
      <c r="FR11" s="123" t="e">
        <f>AND(Versiones!GD5,"AAAAAD/D2q0=")</f>
        <v>#VALUE!</v>
      </c>
      <c r="FS11" s="123" t="e">
        <f>AND(Versiones!GE5,"AAAAAD/D2q4=")</f>
        <v>#VALUE!</v>
      </c>
      <c r="FT11" s="123" t="e">
        <f>AND(Versiones!GF5,"AAAAAD/D2q8=")</f>
        <v>#VALUE!</v>
      </c>
      <c r="FU11" s="123" t="e">
        <f>AND(Versiones!GG5,"AAAAAD/D2rA=")</f>
        <v>#VALUE!</v>
      </c>
      <c r="FV11" s="123" t="e">
        <f>AND(Versiones!GH5,"AAAAAD/D2rE=")</f>
        <v>#VALUE!</v>
      </c>
      <c r="FW11" s="123" t="e">
        <f>AND(Versiones!GI5,"AAAAAD/D2rI=")</f>
        <v>#VALUE!</v>
      </c>
      <c r="FX11" s="123" t="e">
        <f>AND(Versiones!GJ5,"AAAAAD/D2rM=")</f>
        <v>#VALUE!</v>
      </c>
      <c r="FY11" s="123" t="e">
        <f>AND(Versiones!GK5,"AAAAAD/D2rQ=")</f>
        <v>#VALUE!</v>
      </c>
      <c r="FZ11" s="123" t="e">
        <f>AND(Versiones!GL5,"AAAAAD/D2rU=")</f>
        <v>#VALUE!</v>
      </c>
      <c r="GA11" s="123" t="e">
        <f>AND(Versiones!GM5,"AAAAAD/D2rY=")</f>
        <v>#VALUE!</v>
      </c>
      <c r="GB11" s="123" t="e">
        <f>AND(Versiones!GN5,"AAAAAD/D2rc=")</f>
        <v>#VALUE!</v>
      </c>
      <c r="GC11" s="123" t="e">
        <f>AND(Versiones!GO5,"AAAAAD/D2rg=")</f>
        <v>#VALUE!</v>
      </c>
      <c r="GD11" s="123" t="e">
        <f>AND(Versiones!GP5,"AAAAAD/D2rk=")</f>
        <v>#VALUE!</v>
      </c>
      <c r="GE11" s="123" t="e">
        <f>AND(Versiones!GQ5,"AAAAAD/D2ro=")</f>
        <v>#VALUE!</v>
      </c>
      <c r="GF11" s="123" t="e">
        <f>AND(Versiones!GR5,"AAAAAD/D2rs=")</f>
        <v>#VALUE!</v>
      </c>
      <c r="GG11" s="123" t="e">
        <f>AND(Versiones!GS5,"AAAAAD/D2rw=")</f>
        <v>#VALUE!</v>
      </c>
      <c r="GH11" s="123" t="e">
        <f>AND(Versiones!GT5,"AAAAAD/D2r0=")</f>
        <v>#VALUE!</v>
      </c>
      <c r="GI11" s="123" t="e">
        <f>AND(Versiones!GU5,"AAAAAD/D2r4=")</f>
        <v>#VALUE!</v>
      </c>
      <c r="GJ11" s="123" t="e">
        <f>AND(Versiones!GV5,"AAAAAD/D2r8=")</f>
        <v>#VALUE!</v>
      </c>
      <c r="GK11" s="123" t="e">
        <f>AND(Versiones!GW5,"AAAAAD/D2sA=")</f>
        <v>#VALUE!</v>
      </c>
      <c r="GL11" s="123" t="e">
        <f>AND(Versiones!GX5,"AAAAAD/D2sE=")</f>
        <v>#VALUE!</v>
      </c>
      <c r="GM11" s="123" t="e">
        <f>AND(Versiones!GY5,"AAAAAD/D2sI=")</f>
        <v>#VALUE!</v>
      </c>
      <c r="GN11" s="123" t="e">
        <f>AND(Versiones!GZ5,"AAAAAD/D2sM=")</f>
        <v>#VALUE!</v>
      </c>
      <c r="GO11" s="123" t="e">
        <f>AND(Versiones!HA5,"AAAAAD/D2sQ=")</f>
        <v>#VALUE!</v>
      </c>
      <c r="GP11" s="123" t="e">
        <f>AND(Versiones!HB5,"AAAAAD/D2sU=")</f>
        <v>#VALUE!</v>
      </c>
      <c r="GQ11" s="123" t="e">
        <f>AND(Versiones!HC5,"AAAAAD/D2sY=")</f>
        <v>#VALUE!</v>
      </c>
      <c r="GR11" s="123" t="e">
        <f>AND(Versiones!HD5,"AAAAAD/D2sc=")</f>
        <v>#VALUE!</v>
      </c>
      <c r="GS11" s="123" t="e">
        <f>AND(Versiones!HE5,"AAAAAD/D2sg=")</f>
        <v>#VALUE!</v>
      </c>
      <c r="GT11" s="123" t="e">
        <f>AND(Versiones!HF5,"AAAAAD/D2sk=")</f>
        <v>#VALUE!</v>
      </c>
      <c r="GU11" s="123" t="e">
        <f>AND(Versiones!HG5,"AAAAAD/D2so=")</f>
        <v>#VALUE!</v>
      </c>
      <c r="GV11" s="123" t="e">
        <f>AND(Versiones!HH5,"AAAAAD/D2ss=")</f>
        <v>#VALUE!</v>
      </c>
      <c r="GW11" s="123" t="e">
        <f>AND(Versiones!HI5,"AAAAAD/D2sw=")</f>
        <v>#VALUE!</v>
      </c>
      <c r="GX11" s="123">
        <f>IF(Versiones!6:6,"AAAAAD/D2s0=",0)</f>
        <v>0</v>
      </c>
      <c r="GY11" s="123" t="e">
        <f>AND(Versiones!A6,"AAAAAD/D2s4=")</f>
        <v>#VALUE!</v>
      </c>
      <c r="GZ11" s="123" t="e">
        <f>AND(Versiones!B6,"AAAAAD/D2s8=")</f>
        <v>#VALUE!</v>
      </c>
      <c r="HA11" s="123" t="e">
        <f>AND(Versiones!C6,"AAAAAD/D2tA=")</f>
        <v>#VALUE!</v>
      </c>
      <c r="HB11" s="123" t="e">
        <f>AND(Versiones!D6,"AAAAAD/D2tE=")</f>
        <v>#VALUE!</v>
      </c>
      <c r="HC11" s="123" t="e">
        <f>AND(Versiones!E6,"AAAAAD/D2tI=")</f>
        <v>#VALUE!</v>
      </c>
      <c r="HD11" s="123" t="e">
        <f>AND(Versiones!F6,"AAAAAD/D2tM=")</f>
        <v>#VALUE!</v>
      </c>
      <c r="HE11" s="123" t="e">
        <f>AND(Versiones!#REF!,"AAAAAD/D2tQ=")</f>
        <v>#REF!</v>
      </c>
      <c r="HF11" s="123" t="e">
        <f>AND(Versiones!G6,"AAAAAD/D2tU=")</f>
        <v>#VALUE!</v>
      </c>
      <c r="HG11" s="123" t="e">
        <f>AND(Versiones!H6,"AAAAAD/D2tY=")</f>
        <v>#VALUE!</v>
      </c>
      <c r="HH11" s="123" t="e">
        <f>AND(Versiones!I6,"AAAAAD/D2tc=")</f>
        <v>#VALUE!</v>
      </c>
      <c r="HI11" s="123" t="e">
        <f>AND(Versiones!J6,"AAAAAD/D2tg=")</f>
        <v>#VALUE!</v>
      </c>
      <c r="HJ11" s="123" t="e">
        <f>AND(Versiones!K6,"AAAAAD/D2tk=")</f>
        <v>#VALUE!</v>
      </c>
      <c r="HK11" s="123" t="e">
        <f>AND(Versiones!L6,"AAAAAD/D2to=")</f>
        <v>#VALUE!</v>
      </c>
      <c r="HL11" s="123" t="e">
        <f>AND(Versiones!M6,"AAAAAD/D2ts=")</f>
        <v>#VALUE!</v>
      </c>
      <c r="HM11" s="123" t="e">
        <f>AND(Versiones!N6,"AAAAAD/D2tw=")</f>
        <v>#VALUE!</v>
      </c>
      <c r="HN11" s="123" t="e">
        <f>AND(Versiones!O6,"AAAAAD/D2t0=")</f>
        <v>#VALUE!</v>
      </c>
      <c r="HO11" s="123" t="e">
        <f>AND(Versiones!P6,"AAAAAD/D2t4=")</f>
        <v>#VALUE!</v>
      </c>
      <c r="HP11" s="123" t="e">
        <f>AND(Versiones!Q6,"AAAAAD/D2t8=")</f>
        <v>#VALUE!</v>
      </c>
      <c r="HQ11" s="123" t="e">
        <f>AND(Versiones!R6,"AAAAAD/D2uA=")</f>
        <v>#VALUE!</v>
      </c>
      <c r="HR11" s="123" t="e">
        <f>AND(Versiones!S6,"AAAAAD/D2uE=")</f>
        <v>#VALUE!</v>
      </c>
      <c r="HS11" s="123" t="e">
        <f>AND(Versiones!T6,"AAAAAD/D2uI=")</f>
        <v>#VALUE!</v>
      </c>
      <c r="HT11" s="123" t="e">
        <f>AND(Versiones!U6,"AAAAAD/D2uM=")</f>
        <v>#VALUE!</v>
      </c>
      <c r="HU11" s="123" t="e">
        <f>AND(Versiones!V6,"AAAAAD/D2uQ=")</f>
        <v>#VALUE!</v>
      </c>
      <c r="HV11" s="123" t="e">
        <f>AND(Versiones!W6,"AAAAAD/D2uU=")</f>
        <v>#VALUE!</v>
      </c>
      <c r="HW11" s="123" t="e">
        <f>AND(Versiones!X6,"AAAAAD/D2uY=")</f>
        <v>#VALUE!</v>
      </c>
      <c r="HX11" s="123" t="e">
        <f>AND(Versiones!Y6,"AAAAAD/D2uc=")</f>
        <v>#VALUE!</v>
      </c>
      <c r="HY11" s="123" t="e">
        <f>AND(Versiones!Z6,"AAAAAD/D2ug=")</f>
        <v>#VALUE!</v>
      </c>
      <c r="HZ11" s="123" t="e">
        <f>AND(Versiones!AA6,"AAAAAD/D2uk=")</f>
        <v>#VALUE!</v>
      </c>
      <c r="IA11" s="123" t="e">
        <f>AND(Versiones!AB6,"AAAAAD/D2uo=")</f>
        <v>#VALUE!</v>
      </c>
      <c r="IB11" s="123" t="e">
        <f>AND(Versiones!AC6,"AAAAAD/D2us=")</f>
        <v>#VALUE!</v>
      </c>
      <c r="IC11" s="123" t="e">
        <f>AND(Versiones!AD6,"AAAAAD/D2uw=")</f>
        <v>#VALUE!</v>
      </c>
      <c r="ID11" s="123" t="e">
        <f>AND(Versiones!AE6,"AAAAAD/D2u0=")</f>
        <v>#VALUE!</v>
      </c>
      <c r="IE11" s="123" t="e">
        <f>AND(Versiones!AF6,"AAAAAD/D2u4=")</f>
        <v>#VALUE!</v>
      </c>
      <c r="IF11" s="123" t="e">
        <f>AND(Versiones!AG6,"AAAAAD/D2u8=")</f>
        <v>#VALUE!</v>
      </c>
      <c r="IG11" s="123" t="e">
        <f>AND(Versiones!AH6,"AAAAAD/D2vA=")</f>
        <v>#VALUE!</v>
      </c>
      <c r="IH11" s="123" t="e">
        <f>AND(Versiones!AI6,"AAAAAD/D2vE=")</f>
        <v>#VALUE!</v>
      </c>
      <c r="II11" s="123" t="e">
        <f>AND(Versiones!AJ6,"AAAAAD/D2vI=")</f>
        <v>#VALUE!</v>
      </c>
      <c r="IJ11" s="123" t="e">
        <f>AND(Versiones!AK6,"AAAAAD/D2vM=")</f>
        <v>#VALUE!</v>
      </c>
      <c r="IK11" s="123" t="e">
        <f>AND(Versiones!AL6,"AAAAAD/D2vQ=")</f>
        <v>#VALUE!</v>
      </c>
      <c r="IL11" s="123" t="e">
        <f>AND(Versiones!AM6,"AAAAAD/D2vU=")</f>
        <v>#VALUE!</v>
      </c>
      <c r="IM11" s="123" t="e">
        <f>AND(Versiones!AN6,"AAAAAD/D2vY=")</f>
        <v>#VALUE!</v>
      </c>
      <c r="IN11" s="123" t="e">
        <f>AND(Versiones!AO6,"AAAAAD/D2vc=")</f>
        <v>#VALUE!</v>
      </c>
      <c r="IO11" s="123" t="e">
        <f>AND(Versiones!AP6,"AAAAAD/D2vg=")</f>
        <v>#VALUE!</v>
      </c>
      <c r="IP11" s="123" t="e">
        <f>AND(Versiones!AQ6,"AAAAAD/D2vk=")</f>
        <v>#VALUE!</v>
      </c>
      <c r="IQ11" s="123" t="e">
        <f>AND(Versiones!AR6,"AAAAAD/D2vo=")</f>
        <v>#VALUE!</v>
      </c>
      <c r="IR11" s="123" t="e">
        <f>AND(Versiones!AS6,"AAAAAD/D2vs=")</f>
        <v>#VALUE!</v>
      </c>
      <c r="IS11" s="123" t="e">
        <f>AND(Versiones!AT6,"AAAAAD/D2vw=")</f>
        <v>#VALUE!</v>
      </c>
      <c r="IT11" s="123" t="e">
        <f>AND(Versiones!AU6,"AAAAAD/D2v0=")</f>
        <v>#VALUE!</v>
      </c>
      <c r="IU11" s="123" t="e">
        <f>AND(Versiones!AV6,"AAAAAD/D2v4=")</f>
        <v>#VALUE!</v>
      </c>
      <c r="IV11" s="123" t="e">
        <f>AND(Versiones!AW6,"AAAAAD/D2v8=")</f>
        <v>#VALUE!</v>
      </c>
    </row>
    <row r="12" spans="1:256" ht="14.4">
      <c r="A12" s="123" t="e">
        <f>AND(Versiones!AX6,"AAAAAD7r/wA=")</f>
        <v>#VALUE!</v>
      </c>
      <c r="B12" s="123" t="e">
        <f>AND(Versiones!AY6,"AAAAAD7r/wE=")</f>
        <v>#VALUE!</v>
      </c>
      <c r="C12" s="123" t="e">
        <f>AND(Versiones!AZ6,"AAAAAD7r/wI=")</f>
        <v>#VALUE!</v>
      </c>
      <c r="D12" s="123" t="e">
        <f>AND(Versiones!BA6,"AAAAAD7r/wM=")</f>
        <v>#VALUE!</v>
      </c>
      <c r="E12" s="123" t="e">
        <f>AND(Versiones!BB6,"AAAAAD7r/wQ=")</f>
        <v>#VALUE!</v>
      </c>
      <c r="F12" s="123" t="e">
        <f>AND(Versiones!BC6,"AAAAAD7r/wU=")</f>
        <v>#VALUE!</v>
      </c>
      <c r="G12" s="123" t="e">
        <f>AND(Versiones!BD6,"AAAAAD7r/wY=")</f>
        <v>#VALUE!</v>
      </c>
      <c r="H12" s="123" t="e">
        <f>AND(Versiones!BE6,"AAAAAD7r/wc=")</f>
        <v>#VALUE!</v>
      </c>
      <c r="I12" s="123" t="e">
        <f>AND(Versiones!BF6,"AAAAAD7r/wg=")</f>
        <v>#VALUE!</v>
      </c>
      <c r="J12" s="123" t="e">
        <f>AND(Versiones!BG6,"AAAAAD7r/wk=")</f>
        <v>#VALUE!</v>
      </c>
      <c r="K12" s="123" t="e">
        <f>AND(Versiones!BH6,"AAAAAD7r/wo=")</f>
        <v>#VALUE!</v>
      </c>
      <c r="L12" s="123" t="e">
        <f>AND(Versiones!BI6,"AAAAAD7r/ws=")</f>
        <v>#VALUE!</v>
      </c>
      <c r="M12" s="123" t="e">
        <f>AND(Versiones!BJ6,"AAAAAD7r/ww=")</f>
        <v>#VALUE!</v>
      </c>
      <c r="N12" s="123" t="e">
        <f>AND(Versiones!BK6,"AAAAAD7r/w0=")</f>
        <v>#VALUE!</v>
      </c>
      <c r="O12" s="123" t="e">
        <f>AND(Versiones!BL6,"AAAAAD7r/w4=")</f>
        <v>#VALUE!</v>
      </c>
      <c r="P12" s="123" t="e">
        <f>AND(Versiones!BM6,"AAAAAD7r/w8=")</f>
        <v>#VALUE!</v>
      </c>
      <c r="Q12" s="123" t="e">
        <f>AND(Versiones!BN6,"AAAAAD7r/xA=")</f>
        <v>#VALUE!</v>
      </c>
      <c r="R12" s="123" t="e">
        <f>AND(Versiones!BO6,"AAAAAD7r/xE=")</f>
        <v>#VALUE!</v>
      </c>
      <c r="S12" s="123" t="e">
        <f>AND(Versiones!BP6,"AAAAAD7r/xI=")</f>
        <v>#VALUE!</v>
      </c>
      <c r="T12" s="123" t="e">
        <f>AND(Versiones!BQ6,"AAAAAD7r/xM=")</f>
        <v>#VALUE!</v>
      </c>
      <c r="U12" s="123" t="e">
        <f>AND(Versiones!BR6,"AAAAAD7r/xQ=")</f>
        <v>#VALUE!</v>
      </c>
      <c r="V12" s="123" t="e">
        <f>AND(Versiones!BS6,"AAAAAD7r/xU=")</f>
        <v>#VALUE!</v>
      </c>
      <c r="W12" s="123" t="e">
        <f>AND(Versiones!BT6,"AAAAAD7r/xY=")</f>
        <v>#VALUE!</v>
      </c>
      <c r="X12" s="123" t="e">
        <f>AND(Versiones!BU6,"AAAAAD7r/xc=")</f>
        <v>#VALUE!</v>
      </c>
      <c r="Y12" s="123" t="e">
        <f>AND(Versiones!BV6,"AAAAAD7r/xg=")</f>
        <v>#VALUE!</v>
      </c>
      <c r="Z12" s="123" t="e">
        <f>AND(Versiones!BW6,"AAAAAD7r/xk=")</f>
        <v>#VALUE!</v>
      </c>
      <c r="AA12" s="123" t="e">
        <f>AND(Versiones!BX6,"AAAAAD7r/xo=")</f>
        <v>#VALUE!</v>
      </c>
      <c r="AB12" s="123" t="e">
        <f>AND(Versiones!BY6,"AAAAAD7r/xs=")</f>
        <v>#VALUE!</v>
      </c>
      <c r="AC12" s="123" t="e">
        <f>AND(Versiones!BZ6,"AAAAAD7r/xw=")</f>
        <v>#VALUE!</v>
      </c>
      <c r="AD12" s="123" t="e">
        <f>AND(Versiones!CA6,"AAAAAD7r/x0=")</f>
        <v>#VALUE!</v>
      </c>
      <c r="AE12" s="123" t="e">
        <f>AND(Versiones!CB6,"AAAAAD7r/x4=")</f>
        <v>#VALUE!</v>
      </c>
      <c r="AF12" s="123" t="e">
        <f>AND(Versiones!CC6,"AAAAAD7r/x8=")</f>
        <v>#VALUE!</v>
      </c>
      <c r="AG12" s="123" t="e">
        <f>AND(Versiones!CD6,"AAAAAD7r/yA=")</f>
        <v>#VALUE!</v>
      </c>
      <c r="AH12" s="123" t="e">
        <f>AND(Versiones!CE6,"AAAAAD7r/yE=")</f>
        <v>#VALUE!</v>
      </c>
      <c r="AI12" s="123" t="e">
        <f>AND(Versiones!CF6,"AAAAAD7r/yI=")</f>
        <v>#VALUE!</v>
      </c>
      <c r="AJ12" s="123" t="e">
        <f>AND(Versiones!CG6,"AAAAAD7r/yM=")</f>
        <v>#VALUE!</v>
      </c>
      <c r="AK12" s="123" t="e">
        <f>AND(Versiones!CH6,"AAAAAD7r/yQ=")</f>
        <v>#VALUE!</v>
      </c>
      <c r="AL12" s="123" t="e">
        <f>AND(Versiones!CI6,"AAAAAD7r/yU=")</f>
        <v>#VALUE!</v>
      </c>
      <c r="AM12" s="123" t="e">
        <f>AND(Versiones!CJ6,"AAAAAD7r/yY=")</f>
        <v>#VALUE!</v>
      </c>
      <c r="AN12" s="123" t="e">
        <f>AND(Versiones!CK6,"AAAAAD7r/yc=")</f>
        <v>#VALUE!</v>
      </c>
      <c r="AO12" s="123" t="e">
        <f>AND(Versiones!CL6,"AAAAAD7r/yg=")</f>
        <v>#VALUE!</v>
      </c>
      <c r="AP12" s="123" t="e">
        <f>AND(Versiones!CM6,"AAAAAD7r/yk=")</f>
        <v>#VALUE!</v>
      </c>
      <c r="AQ12" s="123" t="e">
        <f>AND(Versiones!CN6,"AAAAAD7r/yo=")</f>
        <v>#VALUE!</v>
      </c>
      <c r="AR12" s="123" t="e">
        <f>AND(Versiones!CO6,"AAAAAD7r/ys=")</f>
        <v>#VALUE!</v>
      </c>
      <c r="AS12" s="123" t="e">
        <f>AND(Versiones!CP6,"AAAAAD7r/yw=")</f>
        <v>#VALUE!</v>
      </c>
      <c r="AT12" s="123" t="e">
        <f>AND(Versiones!CQ6,"AAAAAD7r/y0=")</f>
        <v>#VALUE!</v>
      </c>
      <c r="AU12" s="123" t="e">
        <f>AND(Versiones!CR6,"AAAAAD7r/y4=")</f>
        <v>#VALUE!</v>
      </c>
      <c r="AV12" s="123" t="e">
        <f>AND(Versiones!CS6,"AAAAAD7r/y8=")</f>
        <v>#VALUE!</v>
      </c>
      <c r="AW12" s="123" t="e">
        <f>AND(Versiones!CT6,"AAAAAD7r/zA=")</f>
        <v>#VALUE!</v>
      </c>
      <c r="AX12" s="123" t="e">
        <f>AND(Versiones!CU6,"AAAAAD7r/zE=")</f>
        <v>#VALUE!</v>
      </c>
      <c r="AY12" s="123" t="e">
        <f>AND(Versiones!CV6,"AAAAAD7r/zI=")</f>
        <v>#VALUE!</v>
      </c>
      <c r="AZ12" s="123" t="e">
        <f>AND(Versiones!CW6,"AAAAAD7r/zM=")</f>
        <v>#VALUE!</v>
      </c>
      <c r="BA12" s="123" t="e">
        <f>AND(Versiones!CX6,"AAAAAD7r/zQ=")</f>
        <v>#VALUE!</v>
      </c>
      <c r="BB12" s="123" t="e">
        <f>AND(Versiones!CY6,"AAAAAD7r/zU=")</f>
        <v>#VALUE!</v>
      </c>
      <c r="BC12" s="123" t="e">
        <f>AND(Versiones!CZ6,"AAAAAD7r/zY=")</f>
        <v>#VALUE!</v>
      </c>
      <c r="BD12" s="123" t="e">
        <f>AND(Versiones!DA6,"AAAAAD7r/zc=")</f>
        <v>#VALUE!</v>
      </c>
      <c r="BE12" s="123" t="e">
        <f>AND(Versiones!DB6,"AAAAAD7r/zg=")</f>
        <v>#VALUE!</v>
      </c>
      <c r="BF12" s="123" t="e">
        <f>AND(Versiones!DC6,"AAAAAD7r/zk=")</f>
        <v>#VALUE!</v>
      </c>
      <c r="BG12" s="123" t="e">
        <f>AND(Versiones!DD6,"AAAAAD7r/zo=")</f>
        <v>#VALUE!</v>
      </c>
      <c r="BH12" s="123" t="e">
        <f>AND(Versiones!DE6,"AAAAAD7r/zs=")</f>
        <v>#VALUE!</v>
      </c>
      <c r="BI12" s="123" t="e">
        <f>AND(Versiones!DF6,"AAAAAD7r/zw=")</f>
        <v>#VALUE!</v>
      </c>
      <c r="BJ12" s="123" t="e">
        <f>AND(Versiones!DG6,"AAAAAD7r/z0=")</f>
        <v>#VALUE!</v>
      </c>
      <c r="BK12" s="123" t="e">
        <f>AND(Versiones!DH6,"AAAAAD7r/z4=")</f>
        <v>#VALUE!</v>
      </c>
      <c r="BL12" s="123" t="e">
        <f>AND(Versiones!DI6,"AAAAAD7r/z8=")</f>
        <v>#VALUE!</v>
      </c>
      <c r="BM12" s="123" t="e">
        <f>AND(Versiones!DJ6,"AAAAAD7r/0A=")</f>
        <v>#VALUE!</v>
      </c>
      <c r="BN12" s="123" t="e">
        <f>AND(Versiones!DK6,"AAAAAD7r/0E=")</f>
        <v>#VALUE!</v>
      </c>
      <c r="BO12" s="123" t="e">
        <f>AND(Versiones!DL6,"AAAAAD7r/0I=")</f>
        <v>#VALUE!</v>
      </c>
      <c r="BP12" s="123" t="e">
        <f>AND(Versiones!DM6,"AAAAAD7r/0M=")</f>
        <v>#VALUE!</v>
      </c>
      <c r="BQ12" s="123" t="e">
        <f>AND(Versiones!DN6,"AAAAAD7r/0Q=")</f>
        <v>#VALUE!</v>
      </c>
      <c r="BR12" s="123" t="e">
        <f>AND(Versiones!DO6,"AAAAAD7r/0U=")</f>
        <v>#VALUE!</v>
      </c>
      <c r="BS12" s="123" t="e">
        <f>AND(Versiones!DP6,"AAAAAD7r/0Y=")</f>
        <v>#VALUE!</v>
      </c>
      <c r="BT12" s="123" t="e">
        <f>AND(Versiones!DQ6,"AAAAAD7r/0c=")</f>
        <v>#VALUE!</v>
      </c>
      <c r="BU12" s="123" t="e">
        <f>AND(Versiones!DR6,"AAAAAD7r/0g=")</f>
        <v>#VALUE!</v>
      </c>
      <c r="BV12" s="123" t="e">
        <f>AND(Versiones!DS6,"AAAAAD7r/0k=")</f>
        <v>#VALUE!</v>
      </c>
      <c r="BW12" s="123" t="e">
        <f>AND(Versiones!DT6,"AAAAAD7r/0o=")</f>
        <v>#VALUE!</v>
      </c>
      <c r="BX12" s="123" t="e">
        <f>AND(Versiones!DU6,"AAAAAD7r/0s=")</f>
        <v>#VALUE!</v>
      </c>
      <c r="BY12" s="123" t="e">
        <f>AND(Versiones!DV6,"AAAAAD7r/0w=")</f>
        <v>#VALUE!</v>
      </c>
      <c r="BZ12" s="123" t="e">
        <f>AND(Versiones!DW6,"AAAAAD7r/00=")</f>
        <v>#VALUE!</v>
      </c>
      <c r="CA12" s="123" t="e">
        <f>AND(Versiones!DX6,"AAAAAD7r/04=")</f>
        <v>#VALUE!</v>
      </c>
      <c r="CB12" s="123" t="e">
        <f>AND(Versiones!DY6,"AAAAAD7r/08=")</f>
        <v>#VALUE!</v>
      </c>
      <c r="CC12" s="123" t="e">
        <f>AND(Versiones!DZ6,"AAAAAD7r/1A=")</f>
        <v>#VALUE!</v>
      </c>
      <c r="CD12" s="123" t="e">
        <f>AND(Versiones!EA6,"AAAAAD7r/1E=")</f>
        <v>#VALUE!</v>
      </c>
      <c r="CE12" s="123" t="e">
        <f>AND(Versiones!EB6,"AAAAAD7r/1I=")</f>
        <v>#VALUE!</v>
      </c>
      <c r="CF12" s="123" t="e">
        <f>AND(Versiones!EC6,"AAAAAD7r/1M=")</f>
        <v>#VALUE!</v>
      </c>
      <c r="CG12" s="123" t="e">
        <f>AND(Versiones!ED6,"AAAAAD7r/1Q=")</f>
        <v>#VALUE!</v>
      </c>
      <c r="CH12" s="123" t="e">
        <f>AND(Versiones!EE6,"AAAAAD7r/1U=")</f>
        <v>#VALUE!</v>
      </c>
      <c r="CI12" s="123" t="e">
        <f>AND(Versiones!EF6,"AAAAAD7r/1Y=")</f>
        <v>#VALUE!</v>
      </c>
      <c r="CJ12" s="123" t="e">
        <f>AND(Versiones!EG6,"AAAAAD7r/1c=")</f>
        <v>#VALUE!</v>
      </c>
      <c r="CK12" s="123" t="e">
        <f>AND(Versiones!EH6,"AAAAAD7r/1g=")</f>
        <v>#VALUE!</v>
      </c>
      <c r="CL12" s="123" t="e">
        <f>AND(Versiones!EI6,"AAAAAD7r/1k=")</f>
        <v>#VALUE!</v>
      </c>
      <c r="CM12" s="123" t="e">
        <f>AND(Versiones!EJ6,"AAAAAD7r/1o=")</f>
        <v>#VALUE!</v>
      </c>
      <c r="CN12" s="123" t="e">
        <f>AND(Versiones!EK6,"AAAAAD7r/1s=")</f>
        <v>#VALUE!</v>
      </c>
      <c r="CO12" s="123" t="e">
        <f>AND(Versiones!EL6,"AAAAAD7r/1w=")</f>
        <v>#VALUE!</v>
      </c>
      <c r="CP12" s="123" t="e">
        <f>AND(Versiones!EM6,"AAAAAD7r/10=")</f>
        <v>#VALUE!</v>
      </c>
      <c r="CQ12" s="123" t="e">
        <f>AND(Versiones!EN6,"AAAAAD7r/14=")</f>
        <v>#VALUE!</v>
      </c>
      <c r="CR12" s="123" t="e">
        <f>AND(Versiones!EO6,"AAAAAD7r/18=")</f>
        <v>#VALUE!</v>
      </c>
      <c r="CS12" s="123" t="e">
        <f>AND(Versiones!EP6,"AAAAAD7r/2A=")</f>
        <v>#VALUE!</v>
      </c>
      <c r="CT12" s="123" t="e">
        <f>AND(Versiones!EQ6,"AAAAAD7r/2E=")</f>
        <v>#VALUE!</v>
      </c>
      <c r="CU12" s="123" t="e">
        <f>AND(Versiones!ER6,"AAAAAD7r/2I=")</f>
        <v>#VALUE!</v>
      </c>
      <c r="CV12" s="123" t="e">
        <f>AND(Versiones!ES6,"AAAAAD7r/2M=")</f>
        <v>#VALUE!</v>
      </c>
      <c r="CW12" s="123" t="e">
        <f>AND(Versiones!ET6,"AAAAAD7r/2Q=")</f>
        <v>#VALUE!</v>
      </c>
      <c r="CX12" s="123" t="e">
        <f>AND(Versiones!EU6,"AAAAAD7r/2U=")</f>
        <v>#VALUE!</v>
      </c>
      <c r="CY12" s="123" t="e">
        <f>AND(Versiones!EV6,"AAAAAD7r/2Y=")</f>
        <v>#VALUE!</v>
      </c>
      <c r="CZ12" s="123" t="e">
        <f>AND(Versiones!EW6,"AAAAAD7r/2c=")</f>
        <v>#VALUE!</v>
      </c>
      <c r="DA12" s="123" t="e">
        <f>AND(Versiones!EX6,"AAAAAD7r/2g=")</f>
        <v>#VALUE!</v>
      </c>
      <c r="DB12" s="123" t="e">
        <f>AND(Versiones!EY6,"AAAAAD7r/2k=")</f>
        <v>#VALUE!</v>
      </c>
      <c r="DC12" s="123" t="e">
        <f>AND(Versiones!EZ6,"AAAAAD7r/2o=")</f>
        <v>#VALUE!</v>
      </c>
      <c r="DD12" s="123" t="e">
        <f>AND(Versiones!FA6,"AAAAAD7r/2s=")</f>
        <v>#VALUE!</v>
      </c>
      <c r="DE12" s="123" t="e">
        <f>AND(Versiones!FB6,"AAAAAD7r/2w=")</f>
        <v>#VALUE!</v>
      </c>
      <c r="DF12" s="123" t="e">
        <f>AND(Versiones!FC6,"AAAAAD7r/20=")</f>
        <v>#VALUE!</v>
      </c>
      <c r="DG12" s="123" t="e">
        <f>AND(Versiones!FD6,"AAAAAD7r/24=")</f>
        <v>#VALUE!</v>
      </c>
      <c r="DH12" s="123" t="e">
        <f>AND(Versiones!FE6,"AAAAAD7r/28=")</f>
        <v>#VALUE!</v>
      </c>
      <c r="DI12" s="123" t="e">
        <f>AND(Versiones!FF6,"AAAAAD7r/3A=")</f>
        <v>#VALUE!</v>
      </c>
      <c r="DJ12" s="123" t="e">
        <f>AND(Versiones!FG6,"AAAAAD7r/3E=")</f>
        <v>#VALUE!</v>
      </c>
      <c r="DK12" s="123" t="e">
        <f>AND(Versiones!FH6,"AAAAAD7r/3I=")</f>
        <v>#VALUE!</v>
      </c>
      <c r="DL12" s="123" t="e">
        <f>AND(Versiones!FI6,"AAAAAD7r/3M=")</f>
        <v>#VALUE!</v>
      </c>
      <c r="DM12" s="123" t="e">
        <f>AND(Versiones!FJ6,"AAAAAD7r/3Q=")</f>
        <v>#VALUE!</v>
      </c>
      <c r="DN12" s="123" t="e">
        <f>AND(Versiones!FK6,"AAAAAD7r/3U=")</f>
        <v>#VALUE!</v>
      </c>
      <c r="DO12" s="123" t="e">
        <f>AND(Versiones!FL6,"AAAAAD7r/3Y=")</f>
        <v>#VALUE!</v>
      </c>
      <c r="DP12" s="123" t="e">
        <f>AND(Versiones!FM6,"AAAAAD7r/3c=")</f>
        <v>#VALUE!</v>
      </c>
      <c r="DQ12" s="123" t="e">
        <f>AND(Versiones!FN6,"AAAAAD7r/3g=")</f>
        <v>#VALUE!</v>
      </c>
      <c r="DR12" s="123" t="e">
        <f>AND(Versiones!FO6,"AAAAAD7r/3k=")</f>
        <v>#VALUE!</v>
      </c>
      <c r="DS12" s="123" t="e">
        <f>AND(Versiones!FP6,"AAAAAD7r/3o=")</f>
        <v>#VALUE!</v>
      </c>
      <c r="DT12" s="123" t="e">
        <f>AND(Versiones!FQ6,"AAAAAD7r/3s=")</f>
        <v>#VALUE!</v>
      </c>
      <c r="DU12" s="123" t="e">
        <f>AND(Versiones!FR6,"AAAAAD7r/3w=")</f>
        <v>#VALUE!</v>
      </c>
      <c r="DV12" s="123" t="e">
        <f>AND(Versiones!FS6,"AAAAAD7r/30=")</f>
        <v>#VALUE!</v>
      </c>
      <c r="DW12" s="123" t="e">
        <f>AND(Versiones!FT6,"AAAAAD7r/34=")</f>
        <v>#VALUE!</v>
      </c>
      <c r="DX12" s="123" t="e">
        <f>AND(Versiones!FU6,"AAAAAD7r/38=")</f>
        <v>#VALUE!</v>
      </c>
      <c r="DY12" s="123" t="e">
        <f>AND(Versiones!FV6,"AAAAAD7r/4A=")</f>
        <v>#VALUE!</v>
      </c>
      <c r="DZ12" s="123" t="e">
        <f>AND(Versiones!FW6,"AAAAAD7r/4E=")</f>
        <v>#VALUE!</v>
      </c>
      <c r="EA12" s="123" t="e">
        <f>AND(Versiones!FX6,"AAAAAD7r/4I=")</f>
        <v>#VALUE!</v>
      </c>
      <c r="EB12" s="123" t="e">
        <f>AND(Versiones!FY6,"AAAAAD7r/4M=")</f>
        <v>#VALUE!</v>
      </c>
      <c r="EC12" s="123" t="e">
        <f>AND(Versiones!FZ6,"AAAAAD7r/4Q=")</f>
        <v>#VALUE!</v>
      </c>
      <c r="ED12" s="123" t="e">
        <f>AND(Versiones!GA6,"AAAAAD7r/4U=")</f>
        <v>#VALUE!</v>
      </c>
      <c r="EE12" s="123" t="e">
        <f>AND(Versiones!GB6,"AAAAAD7r/4Y=")</f>
        <v>#VALUE!</v>
      </c>
      <c r="EF12" s="123" t="e">
        <f>AND(Versiones!GC6,"AAAAAD7r/4c=")</f>
        <v>#VALUE!</v>
      </c>
      <c r="EG12" s="123" t="e">
        <f>AND(Versiones!GD6,"AAAAAD7r/4g=")</f>
        <v>#VALUE!</v>
      </c>
      <c r="EH12" s="123" t="e">
        <f>AND(Versiones!GE6,"AAAAAD7r/4k=")</f>
        <v>#VALUE!</v>
      </c>
      <c r="EI12" s="123" t="e">
        <f>AND(Versiones!GF6,"AAAAAD7r/4o=")</f>
        <v>#VALUE!</v>
      </c>
      <c r="EJ12" s="123" t="e">
        <f>AND(Versiones!GG6,"AAAAAD7r/4s=")</f>
        <v>#VALUE!</v>
      </c>
      <c r="EK12" s="123" t="e">
        <f>AND(Versiones!GH6,"AAAAAD7r/4w=")</f>
        <v>#VALUE!</v>
      </c>
      <c r="EL12" s="123" t="e">
        <f>AND(Versiones!GI6,"AAAAAD7r/40=")</f>
        <v>#VALUE!</v>
      </c>
      <c r="EM12" s="123" t="e">
        <f>AND(Versiones!GJ6,"AAAAAD7r/44=")</f>
        <v>#VALUE!</v>
      </c>
      <c r="EN12" s="123" t="e">
        <f>AND(Versiones!GK6,"AAAAAD7r/48=")</f>
        <v>#VALUE!</v>
      </c>
      <c r="EO12" s="123" t="e">
        <f>AND(Versiones!GL6,"AAAAAD7r/5A=")</f>
        <v>#VALUE!</v>
      </c>
      <c r="EP12" s="123" t="e">
        <f>AND(Versiones!GM6,"AAAAAD7r/5E=")</f>
        <v>#VALUE!</v>
      </c>
      <c r="EQ12" s="123" t="e">
        <f>AND(Versiones!GN6,"AAAAAD7r/5I=")</f>
        <v>#VALUE!</v>
      </c>
      <c r="ER12" s="123" t="e">
        <f>AND(Versiones!GO6,"AAAAAD7r/5M=")</f>
        <v>#VALUE!</v>
      </c>
      <c r="ES12" s="123" t="e">
        <f>AND(Versiones!GP6,"AAAAAD7r/5Q=")</f>
        <v>#VALUE!</v>
      </c>
      <c r="ET12" s="123" t="e">
        <f>AND(Versiones!GQ6,"AAAAAD7r/5U=")</f>
        <v>#VALUE!</v>
      </c>
      <c r="EU12" s="123" t="e">
        <f>AND(Versiones!GR6,"AAAAAD7r/5Y=")</f>
        <v>#VALUE!</v>
      </c>
      <c r="EV12" s="123" t="e">
        <f>AND(Versiones!GS6,"AAAAAD7r/5c=")</f>
        <v>#VALUE!</v>
      </c>
      <c r="EW12" s="123" t="e">
        <f>AND(Versiones!GT6,"AAAAAD7r/5g=")</f>
        <v>#VALUE!</v>
      </c>
      <c r="EX12" s="123" t="e">
        <f>AND(Versiones!GU6,"AAAAAD7r/5k=")</f>
        <v>#VALUE!</v>
      </c>
      <c r="EY12" s="123" t="e">
        <f>AND(Versiones!GV6,"AAAAAD7r/5o=")</f>
        <v>#VALUE!</v>
      </c>
      <c r="EZ12" s="123" t="e">
        <f>AND(Versiones!GW6,"AAAAAD7r/5s=")</f>
        <v>#VALUE!</v>
      </c>
      <c r="FA12" s="123" t="e">
        <f>AND(Versiones!GX6,"AAAAAD7r/5w=")</f>
        <v>#VALUE!</v>
      </c>
      <c r="FB12" s="123" t="e">
        <f>AND(Versiones!GY6,"AAAAAD7r/50=")</f>
        <v>#VALUE!</v>
      </c>
      <c r="FC12" s="123" t="e">
        <f>AND(Versiones!GZ6,"AAAAAD7r/54=")</f>
        <v>#VALUE!</v>
      </c>
      <c r="FD12" s="123" t="e">
        <f>AND(Versiones!HA6,"AAAAAD7r/58=")</f>
        <v>#VALUE!</v>
      </c>
      <c r="FE12" s="123" t="e">
        <f>AND(Versiones!HB6,"AAAAAD7r/6A=")</f>
        <v>#VALUE!</v>
      </c>
      <c r="FF12" s="123" t="e">
        <f>AND(Versiones!HC6,"AAAAAD7r/6E=")</f>
        <v>#VALUE!</v>
      </c>
      <c r="FG12" s="123" t="e">
        <f>AND(Versiones!HD6,"AAAAAD7r/6I=")</f>
        <v>#VALUE!</v>
      </c>
      <c r="FH12" s="123" t="e">
        <f>AND(Versiones!HE6,"AAAAAD7r/6M=")</f>
        <v>#VALUE!</v>
      </c>
      <c r="FI12" s="123" t="e">
        <f>AND(Versiones!HF6,"AAAAAD7r/6Q=")</f>
        <v>#VALUE!</v>
      </c>
      <c r="FJ12" s="123" t="e">
        <f>AND(Versiones!HG6,"AAAAAD7r/6U=")</f>
        <v>#VALUE!</v>
      </c>
      <c r="FK12" s="123" t="e">
        <f>AND(Versiones!HH6,"AAAAAD7r/6Y=")</f>
        <v>#VALUE!</v>
      </c>
      <c r="FL12" s="123" t="e">
        <f>AND(Versiones!HI6,"AAAAAD7r/6c=")</f>
        <v>#VALUE!</v>
      </c>
      <c r="FM12" s="123">
        <f>IF(Versiones!7:7,"AAAAAD7r/6g=",0)</f>
        <v>0</v>
      </c>
      <c r="FN12" s="123" t="e">
        <f>AND(Versiones!A7,"AAAAAD7r/6k=")</f>
        <v>#VALUE!</v>
      </c>
      <c r="FO12" s="123" t="e">
        <f>AND(Versiones!B7,"AAAAAD7r/6o=")</f>
        <v>#VALUE!</v>
      </c>
      <c r="FP12" s="123" t="e">
        <f>AND(Versiones!C7,"AAAAAD7r/6s=")</f>
        <v>#VALUE!</v>
      </c>
      <c r="FQ12" s="123" t="e">
        <f>AND(Versiones!D7,"AAAAAD7r/6w=")</f>
        <v>#VALUE!</v>
      </c>
      <c r="FR12" s="123" t="e">
        <f>AND(Versiones!E7,"AAAAAD7r/60=")</f>
        <v>#VALUE!</v>
      </c>
      <c r="FS12" s="123" t="e">
        <f>AND(Versiones!F7,"AAAAAD7r/64=")</f>
        <v>#VALUE!</v>
      </c>
      <c r="FT12" s="123" t="e">
        <f>AND(Versiones!#REF!,"AAAAAD7r/68=")</f>
        <v>#REF!</v>
      </c>
      <c r="FU12" s="123" t="e">
        <f>AND(Versiones!G7,"AAAAAD7r/7A=")</f>
        <v>#VALUE!</v>
      </c>
      <c r="FV12" s="123" t="e">
        <f>AND(Versiones!H7,"AAAAAD7r/7E=")</f>
        <v>#VALUE!</v>
      </c>
      <c r="FW12" s="123" t="e">
        <f>AND(Versiones!I7,"AAAAAD7r/7I=")</f>
        <v>#VALUE!</v>
      </c>
      <c r="FX12" s="123" t="e">
        <f>AND(Versiones!J7,"AAAAAD7r/7M=")</f>
        <v>#VALUE!</v>
      </c>
      <c r="FY12" s="123" t="e">
        <f>AND(Versiones!K7,"AAAAAD7r/7Q=")</f>
        <v>#VALUE!</v>
      </c>
      <c r="FZ12" s="123" t="e">
        <f>AND(Versiones!L7,"AAAAAD7r/7U=")</f>
        <v>#VALUE!</v>
      </c>
      <c r="GA12" s="123" t="e">
        <f>AND(Versiones!M7,"AAAAAD7r/7Y=")</f>
        <v>#VALUE!</v>
      </c>
      <c r="GB12" s="123" t="e">
        <f>AND(Versiones!N7,"AAAAAD7r/7c=")</f>
        <v>#VALUE!</v>
      </c>
      <c r="GC12" s="123" t="e">
        <f>AND(Versiones!O7,"AAAAAD7r/7g=")</f>
        <v>#VALUE!</v>
      </c>
      <c r="GD12" s="123" t="e">
        <f>AND(Versiones!P7,"AAAAAD7r/7k=")</f>
        <v>#VALUE!</v>
      </c>
      <c r="GE12" s="123" t="e">
        <f>AND(Versiones!Q7,"AAAAAD7r/7o=")</f>
        <v>#VALUE!</v>
      </c>
      <c r="GF12" s="123" t="e">
        <f>AND(Versiones!R7,"AAAAAD7r/7s=")</f>
        <v>#VALUE!</v>
      </c>
      <c r="GG12" s="123" t="e">
        <f>AND(Versiones!S7,"AAAAAD7r/7w=")</f>
        <v>#VALUE!</v>
      </c>
      <c r="GH12" s="123" t="e">
        <f>AND(Versiones!T7,"AAAAAD7r/70=")</f>
        <v>#VALUE!</v>
      </c>
      <c r="GI12" s="123" t="e">
        <f>AND(Versiones!U7,"AAAAAD7r/74=")</f>
        <v>#VALUE!</v>
      </c>
      <c r="GJ12" s="123" t="e">
        <f>AND(Versiones!V7,"AAAAAD7r/78=")</f>
        <v>#VALUE!</v>
      </c>
      <c r="GK12" s="123" t="e">
        <f>AND(Versiones!W7,"AAAAAD7r/8A=")</f>
        <v>#VALUE!</v>
      </c>
      <c r="GL12" s="123" t="e">
        <f>AND(Versiones!X7,"AAAAAD7r/8E=")</f>
        <v>#VALUE!</v>
      </c>
      <c r="GM12" s="123" t="e">
        <f>AND(Versiones!Y7,"AAAAAD7r/8I=")</f>
        <v>#VALUE!</v>
      </c>
      <c r="GN12" s="123" t="e">
        <f>AND(Versiones!Z7,"AAAAAD7r/8M=")</f>
        <v>#VALUE!</v>
      </c>
      <c r="GO12" s="123" t="e">
        <f>AND(Versiones!AA7,"AAAAAD7r/8Q=")</f>
        <v>#VALUE!</v>
      </c>
      <c r="GP12" s="123" t="e">
        <f>AND(Versiones!AB7,"AAAAAD7r/8U=")</f>
        <v>#VALUE!</v>
      </c>
      <c r="GQ12" s="123" t="e">
        <f>AND(Versiones!AC7,"AAAAAD7r/8Y=")</f>
        <v>#VALUE!</v>
      </c>
      <c r="GR12" s="123" t="e">
        <f>AND(Versiones!AD7,"AAAAAD7r/8c=")</f>
        <v>#VALUE!</v>
      </c>
      <c r="GS12" s="123" t="e">
        <f>AND(Versiones!AE7,"AAAAAD7r/8g=")</f>
        <v>#VALUE!</v>
      </c>
      <c r="GT12" s="123" t="e">
        <f>AND(Versiones!AF7,"AAAAAD7r/8k=")</f>
        <v>#VALUE!</v>
      </c>
      <c r="GU12" s="123" t="e">
        <f>AND(Versiones!AG7,"AAAAAD7r/8o=")</f>
        <v>#VALUE!</v>
      </c>
      <c r="GV12" s="123" t="e">
        <f>AND(Versiones!AH7,"AAAAAD7r/8s=")</f>
        <v>#VALUE!</v>
      </c>
      <c r="GW12" s="123" t="e">
        <f>AND(Versiones!AI7,"AAAAAD7r/8w=")</f>
        <v>#VALUE!</v>
      </c>
      <c r="GX12" s="123" t="e">
        <f>AND(Versiones!AJ7,"AAAAAD7r/80=")</f>
        <v>#VALUE!</v>
      </c>
      <c r="GY12" s="123" t="e">
        <f>AND(Versiones!AK7,"AAAAAD7r/84=")</f>
        <v>#VALUE!</v>
      </c>
      <c r="GZ12" s="123" t="e">
        <f>AND(Versiones!AL7,"AAAAAD7r/88=")</f>
        <v>#VALUE!</v>
      </c>
      <c r="HA12" s="123" t="e">
        <f>AND(Versiones!AM7,"AAAAAD7r/9A=")</f>
        <v>#VALUE!</v>
      </c>
      <c r="HB12" s="123" t="e">
        <f>AND(Versiones!AN7,"AAAAAD7r/9E=")</f>
        <v>#VALUE!</v>
      </c>
      <c r="HC12" s="123" t="e">
        <f>AND(Versiones!AO7,"AAAAAD7r/9I=")</f>
        <v>#VALUE!</v>
      </c>
      <c r="HD12" s="123" t="e">
        <f>AND(Versiones!AP7,"AAAAAD7r/9M=")</f>
        <v>#VALUE!</v>
      </c>
      <c r="HE12" s="123" t="e">
        <f>AND(Versiones!AQ7,"AAAAAD7r/9Q=")</f>
        <v>#VALUE!</v>
      </c>
      <c r="HF12" s="123" t="e">
        <f>AND(Versiones!AR7,"AAAAAD7r/9U=")</f>
        <v>#VALUE!</v>
      </c>
      <c r="HG12" s="123" t="e">
        <f>AND(Versiones!AS7,"AAAAAD7r/9Y=")</f>
        <v>#VALUE!</v>
      </c>
      <c r="HH12" s="123" t="e">
        <f>AND(Versiones!AT7,"AAAAAD7r/9c=")</f>
        <v>#VALUE!</v>
      </c>
      <c r="HI12" s="123" t="e">
        <f>AND(Versiones!AU7,"AAAAAD7r/9g=")</f>
        <v>#VALUE!</v>
      </c>
      <c r="HJ12" s="123" t="e">
        <f>AND(Versiones!AV7,"AAAAAD7r/9k=")</f>
        <v>#VALUE!</v>
      </c>
      <c r="HK12" s="123" t="e">
        <f>AND(Versiones!AW7,"AAAAAD7r/9o=")</f>
        <v>#VALUE!</v>
      </c>
      <c r="HL12" s="123" t="e">
        <f>AND(Versiones!AX7,"AAAAAD7r/9s=")</f>
        <v>#VALUE!</v>
      </c>
      <c r="HM12" s="123" t="e">
        <f>AND(Versiones!AY7,"AAAAAD7r/9w=")</f>
        <v>#VALUE!</v>
      </c>
      <c r="HN12" s="123" t="e">
        <f>AND(Versiones!AZ7,"AAAAAD7r/90=")</f>
        <v>#VALUE!</v>
      </c>
      <c r="HO12" s="123" t="e">
        <f>AND(Versiones!BA7,"AAAAAD7r/94=")</f>
        <v>#VALUE!</v>
      </c>
      <c r="HP12" s="123" t="e">
        <f>AND(Versiones!BB7,"AAAAAD7r/98=")</f>
        <v>#VALUE!</v>
      </c>
      <c r="HQ12" s="123" t="e">
        <f>AND(Versiones!BC7,"AAAAAD7r/+A=")</f>
        <v>#VALUE!</v>
      </c>
      <c r="HR12" s="123" t="e">
        <f>AND(Versiones!BD7,"AAAAAD7r/+E=")</f>
        <v>#VALUE!</v>
      </c>
      <c r="HS12" s="123" t="e">
        <f>AND(Versiones!BE7,"AAAAAD7r/+I=")</f>
        <v>#VALUE!</v>
      </c>
      <c r="HT12" s="123" t="e">
        <f>AND(Versiones!BF7,"AAAAAD7r/+M=")</f>
        <v>#VALUE!</v>
      </c>
      <c r="HU12" s="123" t="e">
        <f>AND(Versiones!BG7,"AAAAAD7r/+Q=")</f>
        <v>#VALUE!</v>
      </c>
      <c r="HV12" s="123" t="e">
        <f>AND(Versiones!BH7,"AAAAAD7r/+U=")</f>
        <v>#VALUE!</v>
      </c>
      <c r="HW12" s="123" t="e">
        <f>AND(Versiones!BI7,"AAAAAD7r/+Y=")</f>
        <v>#VALUE!</v>
      </c>
      <c r="HX12" s="123" t="e">
        <f>AND(Versiones!BJ7,"AAAAAD7r/+c=")</f>
        <v>#VALUE!</v>
      </c>
      <c r="HY12" s="123" t="e">
        <f>AND(Versiones!BK7,"AAAAAD7r/+g=")</f>
        <v>#VALUE!</v>
      </c>
      <c r="HZ12" s="123" t="e">
        <f>AND(Versiones!BL7,"AAAAAD7r/+k=")</f>
        <v>#VALUE!</v>
      </c>
      <c r="IA12" s="123" t="e">
        <f>AND(Versiones!BM7,"AAAAAD7r/+o=")</f>
        <v>#VALUE!</v>
      </c>
      <c r="IB12" s="123" t="e">
        <f>AND(Versiones!BN7,"AAAAAD7r/+s=")</f>
        <v>#VALUE!</v>
      </c>
      <c r="IC12" s="123" t="e">
        <f>AND(Versiones!BO7,"AAAAAD7r/+w=")</f>
        <v>#VALUE!</v>
      </c>
      <c r="ID12" s="123" t="e">
        <f>AND(Versiones!BP7,"AAAAAD7r/+0=")</f>
        <v>#VALUE!</v>
      </c>
      <c r="IE12" s="123" t="e">
        <f>AND(Versiones!BQ7,"AAAAAD7r/+4=")</f>
        <v>#VALUE!</v>
      </c>
      <c r="IF12" s="123" t="e">
        <f>AND(Versiones!BR7,"AAAAAD7r/+8=")</f>
        <v>#VALUE!</v>
      </c>
      <c r="IG12" s="123" t="e">
        <f>AND(Versiones!BS7,"AAAAAD7r//A=")</f>
        <v>#VALUE!</v>
      </c>
      <c r="IH12" s="123" t="e">
        <f>AND(Versiones!BT7,"AAAAAD7r//E=")</f>
        <v>#VALUE!</v>
      </c>
      <c r="II12" s="123" t="e">
        <f>AND(Versiones!BU7,"AAAAAD7r//I=")</f>
        <v>#VALUE!</v>
      </c>
      <c r="IJ12" s="123" t="e">
        <f>AND(Versiones!BV7,"AAAAAD7r//M=")</f>
        <v>#VALUE!</v>
      </c>
      <c r="IK12" s="123" t="e">
        <f>AND(Versiones!BW7,"AAAAAD7r//Q=")</f>
        <v>#VALUE!</v>
      </c>
      <c r="IL12" s="123" t="e">
        <f>AND(Versiones!BX7,"AAAAAD7r//U=")</f>
        <v>#VALUE!</v>
      </c>
      <c r="IM12" s="123" t="e">
        <f>AND(Versiones!BY7,"AAAAAD7r//Y=")</f>
        <v>#VALUE!</v>
      </c>
      <c r="IN12" s="123" t="e">
        <f>AND(Versiones!BZ7,"AAAAAD7r//c=")</f>
        <v>#VALUE!</v>
      </c>
      <c r="IO12" s="123" t="e">
        <f>AND(Versiones!CA7,"AAAAAD7r//g=")</f>
        <v>#VALUE!</v>
      </c>
      <c r="IP12" s="123" t="e">
        <f>AND(Versiones!CB7,"AAAAAD7r//k=")</f>
        <v>#VALUE!</v>
      </c>
      <c r="IQ12" s="123" t="e">
        <f>AND(Versiones!CC7,"AAAAAD7r//o=")</f>
        <v>#VALUE!</v>
      </c>
      <c r="IR12" s="123" t="e">
        <f>AND(Versiones!CD7,"AAAAAD7r//s=")</f>
        <v>#VALUE!</v>
      </c>
      <c r="IS12" s="123" t="e">
        <f>AND(Versiones!CE7,"AAAAAD7r//w=")</f>
        <v>#VALUE!</v>
      </c>
      <c r="IT12" s="123" t="e">
        <f>AND(Versiones!CF7,"AAAAAD7r//0=")</f>
        <v>#VALUE!</v>
      </c>
      <c r="IU12" s="123" t="e">
        <f>AND(Versiones!CG7,"AAAAAD7r//4=")</f>
        <v>#VALUE!</v>
      </c>
      <c r="IV12" s="123" t="e">
        <f>AND(Versiones!CH7,"AAAAAD7r//8=")</f>
        <v>#VALUE!</v>
      </c>
    </row>
    <row r="13" spans="1:256" ht="14.4">
      <c r="A13" s="123" t="e">
        <f>AND(Versiones!CI7,"AAAAAH/9+gA=")</f>
        <v>#VALUE!</v>
      </c>
      <c r="B13" s="123" t="e">
        <f>AND(Versiones!CJ7,"AAAAAH/9+gE=")</f>
        <v>#VALUE!</v>
      </c>
      <c r="C13" s="123" t="e">
        <f>AND(Versiones!CK7,"AAAAAH/9+gI=")</f>
        <v>#VALUE!</v>
      </c>
      <c r="D13" s="123" t="e">
        <f>AND(Versiones!CL7,"AAAAAH/9+gM=")</f>
        <v>#VALUE!</v>
      </c>
      <c r="E13" s="123" t="e">
        <f>AND(Versiones!CM7,"AAAAAH/9+gQ=")</f>
        <v>#VALUE!</v>
      </c>
      <c r="F13" s="123" t="e">
        <f>AND(Versiones!CN7,"AAAAAH/9+gU=")</f>
        <v>#VALUE!</v>
      </c>
      <c r="G13" s="123" t="e">
        <f>AND(Versiones!CO7,"AAAAAH/9+gY=")</f>
        <v>#VALUE!</v>
      </c>
      <c r="H13" s="123" t="e">
        <f>AND(Versiones!CP7,"AAAAAH/9+gc=")</f>
        <v>#VALUE!</v>
      </c>
      <c r="I13" s="123" t="e">
        <f>AND(Versiones!CQ7,"AAAAAH/9+gg=")</f>
        <v>#VALUE!</v>
      </c>
      <c r="J13" s="123" t="e">
        <f>AND(Versiones!CR7,"AAAAAH/9+gk=")</f>
        <v>#VALUE!</v>
      </c>
      <c r="K13" s="123" t="e">
        <f>AND(Versiones!CS7,"AAAAAH/9+go=")</f>
        <v>#VALUE!</v>
      </c>
      <c r="L13" s="123" t="e">
        <f>AND(Versiones!CT7,"AAAAAH/9+gs=")</f>
        <v>#VALUE!</v>
      </c>
      <c r="M13" s="123" t="e">
        <f>AND(Versiones!CU7,"AAAAAH/9+gw=")</f>
        <v>#VALUE!</v>
      </c>
      <c r="N13" s="123" t="e">
        <f>AND(Versiones!CV7,"AAAAAH/9+g0=")</f>
        <v>#VALUE!</v>
      </c>
      <c r="O13" s="123" t="e">
        <f>AND(Versiones!CW7,"AAAAAH/9+g4=")</f>
        <v>#VALUE!</v>
      </c>
      <c r="P13" s="123" t="e">
        <f>AND(Versiones!CX7,"AAAAAH/9+g8=")</f>
        <v>#VALUE!</v>
      </c>
      <c r="Q13" s="123" t="e">
        <f>AND(Versiones!CY7,"AAAAAH/9+hA=")</f>
        <v>#VALUE!</v>
      </c>
      <c r="R13" s="123" t="e">
        <f>AND(Versiones!CZ7,"AAAAAH/9+hE=")</f>
        <v>#VALUE!</v>
      </c>
      <c r="S13" s="123" t="e">
        <f>AND(Versiones!DA7,"AAAAAH/9+hI=")</f>
        <v>#VALUE!</v>
      </c>
      <c r="T13" s="123" t="e">
        <f>AND(Versiones!DB7,"AAAAAH/9+hM=")</f>
        <v>#VALUE!</v>
      </c>
      <c r="U13" s="123" t="e">
        <f>AND(Versiones!DC7,"AAAAAH/9+hQ=")</f>
        <v>#VALUE!</v>
      </c>
      <c r="V13" s="123" t="e">
        <f>AND(Versiones!DD7,"AAAAAH/9+hU=")</f>
        <v>#VALUE!</v>
      </c>
      <c r="W13" s="123" t="e">
        <f>AND(Versiones!DE7,"AAAAAH/9+hY=")</f>
        <v>#VALUE!</v>
      </c>
      <c r="X13" s="123" t="e">
        <f>AND(Versiones!DF7,"AAAAAH/9+hc=")</f>
        <v>#VALUE!</v>
      </c>
      <c r="Y13" s="123" t="e">
        <f>AND(Versiones!DG7,"AAAAAH/9+hg=")</f>
        <v>#VALUE!</v>
      </c>
      <c r="Z13" s="123" t="e">
        <f>AND(Versiones!DH7,"AAAAAH/9+hk=")</f>
        <v>#VALUE!</v>
      </c>
      <c r="AA13" s="123" t="e">
        <f>AND(Versiones!DI7,"AAAAAH/9+ho=")</f>
        <v>#VALUE!</v>
      </c>
      <c r="AB13" s="123" t="e">
        <f>AND(Versiones!DJ7,"AAAAAH/9+hs=")</f>
        <v>#VALUE!</v>
      </c>
      <c r="AC13" s="123" t="e">
        <f>AND(Versiones!DK7,"AAAAAH/9+hw=")</f>
        <v>#VALUE!</v>
      </c>
      <c r="AD13" s="123" t="e">
        <f>AND(Versiones!DL7,"AAAAAH/9+h0=")</f>
        <v>#VALUE!</v>
      </c>
      <c r="AE13" s="123" t="e">
        <f>AND(Versiones!DM7,"AAAAAH/9+h4=")</f>
        <v>#VALUE!</v>
      </c>
      <c r="AF13" s="123" t="e">
        <f>AND(Versiones!DN7,"AAAAAH/9+h8=")</f>
        <v>#VALUE!</v>
      </c>
      <c r="AG13" s="123" t="e">
        <f>AND(Versiones!DO7,"AAAAAH/9+iA=")</f>
        <v>#VALUE!</v>
      </c>
      <c r="AH13" s="123" t="e">
        <f>AND(Versiones!DP7,"AAAAAH/9+iE=")</f>
        <v>#VALUE!</v>
      </c>
      <c r="AI13" s="123" t="e">
        <f>AND(Versiones!DQ7,"AAAAAH/9+iI=")</f>
        <v>#VALUE!</v>
      </c>
      <c r="AJ13" s="123" t="e">
        <f>AND(Versiones!DR7,"AAAAAH/9+iM=")</f>
        <v>#VALUE!</v>
      </c>
      <c r="AK13" s="123" t="e">
        <f>AND(Versiones!DS7,"AAAAAH/9+iQ=")</f>
        <v>#VALUE!</v>
      </c>
      <c r="AL13" s="123" t="e">
        <f>AND(Versiones!DT7,"AAAAAH/9+iU=")</f>
        <v>#VALUE!</v>
      </c>
      <c r="AM13" s="123" t="e">
        <f>AND(Versiones!DU7,"AAAAAH/9+iY=")</f>
        <v>#VALUE!</v>
      </c>
      <c r="AN13" s="123" t="e">
        <f>AND(Versiones!DV7,"AAAAAH/9+ic=")</f>
        <v>#VALUE!</v>
      </c>
      <c r="AO13" s="123" t="e">
        <f>AND(Versiones!DW7,"AAAAAH/9+ig=")</f>
        <v>#VALUE!</v>
      </c>
      <c r="AP13" s="123" t="e">
        <f>AND(Versiones!DX7,"AAAAAH/9+ik=")</f>
        <v>#VALUE!</v>
      </c>
      <c r="AQ13" s="123" t="e">
        <f>AND(Versiones!DY7,"AAAAAH/9+io=")</f>
        <v>#VALUE!</v>
      </c>
      <c r="AR13" s="123" t="e">
        <f>AND(Versiones!DZ7,"AAAAAH/9+is=")</f>
        <v>#VALUE!</v>
      </c>
      <c r="AS13" s="123" t="e">
        <f>AND(Versiones!EA7,"AAAAAH/9+iw=")</f>
        <v>#VALUE!</v>
      </c>
      <c r="AT13" s="123" t="e">
        <f>AND(Versiones!EB7,"AAAAAH/9+i0=")</f>
        <v>#VALUE!</v>
      </c>
      <c r="AU13" s="123" t="e">
        <f>AND(Versiones!EC7,"AAAAAH/9+i4=")</f>
        <v>#VALUE!</v>
      </c>
      <c r="AV13" s="123" t="e">
        <f>AND(Versiones!ED7,"AAAAAH/9+i8=")</f>
        <v>#VALUE!</v>
      </c>
      <c r="AW13" s="123" t="e">
        <f>AND(Versiones!EE7,"AAAAAH/9+jA=")</f>
        <v>#VALUE!</v>
      </c>
      <c r="AX13" s="123" t="e">
        <f>AND(Versiones!EF7,"AAAAAH/9+jE=")</f>
        <v>#VALUE!</v>
      </c>
      <c r="AY13" s="123" t="e">
        <f>AND(Versiones!EG7,"AAAAAH/9+jI=")</f>
        <v>#VALUE!</v>
      </c>
      <c r="AZ13" s="123" t="e">
        <f>AND(Versiones!EH7,"AAAAAH/9+jM=")</f>
        <v>#VALUE!</v>
      </c>
      <c r="BA13" s="123" t="e">
        <f>AND(Versiones!EI7,"AAAAAH/9+jQ=")</f>
        <v>#VALUE!</v>
      </c>
      <c r="BB13" s="123" t="e">
        <f>AND(Versiones!EJ7,"AAAAAH/9+jU=")</f>
        <v>#VALUE!</v>
      </c>
      <c r="BC13" s="123" t="e">
        <f>AND(Versiones!EK7,"AAAAAH/9+jY=")</f>
        <v>#VALUE!</v>
      </c>
      <c r="BD13" s="123" t="e">
        <f>AND(Versiones!EL7,"AAAAAH/9+jc=")</f>
        <v>#VALUE!</v>
      </c>
      <c r="BE13" s="123" t="e">
        <f>AND(Versiones!EM7,"AAAAAH/9+jg=")</f>
        <v>#VALUE!</v>
      </c>
      <c r="BF13" s="123" t="e">
        <f>AND(Versiones!EN7,"AAAAAH/9+jk=")</f>
        <v>#VALUE!</v>
      </c>
      <c r="BG13" s="123" t="e">
        <f>AND(Versiones!EO7,"AAAAAH/9+jo=")</f>
        <v>#VALUE!</v>
      </c>
      <c r="BH13" s="123" t="e">
        <f>AND(Versiones!EP7,"AAAAAH/9+js=")</f>
        <v>#VALUE!</v>
      </c>
      <c r="BI13" s="123" t="e">
        <f>AND(Versiones!EQ7,"AAAAAH/9+jw=")</f>
        <v>#VALUE!</v>
      </c>
      <c r="BJ13" s="123" t="e">
        <f>AND(Versiones!ER7,"AAAAAH/9+j0=")</f>
        <v>#VALUE!</v>
      </c>
      <c r="BK13" s="123" t="e">
        <f>AND(Versiones!ES7,"AAAAAH/9+j4=")</f>
        <v>#VALUE!</v>
      </c>
      <c r="BL13" s="123" t="e">
        <f>AND(Versiones!ET7,"AAAAAH/9+j8=")</f>
        <v>#VALUE!</v>
      </c>
      <c r="BM13" s="123" t="e">
        <f>AND(Versiones!EU7,"AAAAAH/9+kA=")</f>
        <v>#VALUE!</v>
      </c>
      <c r="BN13" s="123" t="e">
        <f>AND(Versiones!EV7,"AAAAAH/9+kE=")</f>
        <v>#VALUE!</v>
      </c>
      <c r="BO13" s="123" t="e">
        <f>AND(Versiones!EW7,"AAAAAH/9+kI=")</f>
        <v>#VALUE!</v>
      </c>
      <c r="BP13" s="123" t="e">
        <f>AND(Versiones!EX7,"AAAAAH/9+kM=")</f>
        <v>#VALUE!</v>
      </c>
      <c r="BQ13" s="123" t="e">
        <f>AND(Versiones!EY7,"AAAAAH/9+kQ=")</f>
        <v>#VALUE!</v>
      </c>
      <c r="BR13" s="123" t="e">
        <f>AND(Versiones!EZ7,"AAAAAH/9+kU=")</f>
        <v>#VALUE!</v>
      </c>
      <c r="BS13" s="123" t="e">
        <f>AND(Versiones!FA7,"AAAAAH/9+kY=")</f>
        <v>#VALUE!</v>
      </c>
      <c r="BT13" s="123" t="e">
        <f>AND(Versiones!FB7,"AAAAAH/9+kc=")</f>
        <v>#VALUE!</v>
      </c>
      <c r="BU13" s="123" t="e">
        <f>AND(Versiones!FC7,"AAAAAH/9+kg=")</f>
        <v>#VALUE!</v>
      </c>
      <c r="BV13" s="123" t="e">
        <f>AND(Versiones!FD7,"AAAAAH/9+kk=")</f>
        <v>#VALUE!</v>
      </c>
      <c r="BW13" s="123" t="e">
        <f>AND(Versiones!FE7,"AAAAAH/9+ko=")</f>
        <v>#VALUE!</v>
      </c>
      <c r="BX13" s="123" t="e">
        <f>AND(Versiones!FF7,"AAAAAH/9+ks=")</f>
        <v>#VALUE!</v>
      </c>
      <c r="BY13" s="123" t="e">
        <f>AND(Versiones!FG7,"AAAAAH/9+kw=")</f>
        <v>#VALUE!</v>
      </c>
      <c r="BZ13" s="123" t="e">
        <f>AND(Versiones!FH7,"AAAAAH/9+k0=")</f>
        <v>#VALUE!</v>
      </c>
      <c r="CA13" s="123" t="e">
        <f>AND(Versiones!FI7,"AAAAAH/9+k4=")</f>
        <v>#VALUE!</v>
      </c>
      <c r="CB13" s="123" t="e">
        <f>AND(Versiones!FJ7,"AAAAAH/9+k8=")</f>
        <v>#VALUE!</v>
      </c>
      <c r="CC13" s="123" t="e">
        <f>AND(Versiones!FK7,"AAAAAH/9+lA=")</f>
        <v>#VALUE!</v>
      </c>
      <c r="CD13" s="123" t="e">
        <f>AND(Versiones!FL7,"AAAAAH/9+lE=")</f>
        <v>#VALUE!</v>
      </c>
      <c r="CE13" s="123" t="e">
        <f>AND(Versiones!FM7,"AAAAAH/9+lI=")</f>
        <v>#VALUE!</v>
      </c>
      <c r="CF13" s="123" t="e">
        <f>AND(Versiones!FN7,"AAAAAH/9+lM=")</f>
        <v>#VALUE!</v>
      </c>
      <c r="CG13" s="123" t="e">
        <f>AND(Versiones!FO7,"AAAAAH/9+lQ=")</f>
        <v>#VALUE!</v>
      </c>
      <c r="CH13" s="123" t="e">
        <f>AND(Versiones!FP7,"AAAAAH/9+lU=")</f>
        <v>#VALUE!</v>
      </c>
      <c r="CI13" s="123" t="e">
        <f>AND(Versiones!FQ7,"AAAAAH/9+lY=")</f>
        <v>#VALUE!</v>
      </c>
      <c r="CJ13" s="123" t="e">
        <f>AND(Versiones!FR7,"AAAAAH/9+lc=")</f>
        <v>#VALUE!</v>
      </c>
      <c r="CK13" s="123" t="e">
        <f>AND(Versiones!FS7,"AAAAAH/9+lg=")</f>
        <v>#VALUE!</v>
      </c>
      <c r="CL13" s="123" t="e">
        <f>AND(Versiones!FT7,"AAAAAH/9+lk=")</f>
        <v>#VALUE!</v>
      </c>
      <c r="CM13" s="123" t="e">
        <f>AND(Versiones!FU7,"AAAAAH/9+lo=")</f>
        <v>#VALUE!</v>
      </c>
      <c r="CN13" s="123" t="e">
        <f>AND(Versiones!FV7,"AAAAAH/9+ls=")</f>
        <v>#VALUE!</v>
      </c>
      <c r="CO13" s="123" t="e">
        <f>AND(Versiones!FW7,"AAAAAH/9+lw=")</f>
        <v>#VALUE!</v>
      </c>
      <c r="CP13" s="123" t="e">
        <f>AND(Versiones!FX7,"AAAAAH/9+l0=")</f>
        <v>#VALUE!</v>
      </c>
      <c r="CQ13" s="123" t="e">
        <f>AND(Versiones!FY7,"AAAAAH/9+l4=")</f>
        <v>#VALUE!</v>
      </c>
      <c r="CR13" s="123" t="e">
        <f>AND(Versiones!FZ7,"AAAAAH/9+l8=")</f>
        <v>#VALUE!</v>
      </c>
      <c r="CS13" s="123" t="e">
        <f>AND(Versiones!GA7,"AAAAAH/9+mA=")</f>
        <v>#VALUE!</v>
      </c>
      <c r="CT13" s="123" t="e">
        <f>AND(Versiones!GB7,"AAAAAH/9+mE=")</f>
        <v>#VALUE!</v>
      </c>
      <c r="CU13" s="123" t="e">
        <f>AND(Versiones!GC7,"AAAAAH/9+mI=")</f>
        <v>#VALUE!</v>
      </c>
      <c r="CV13" s="123" t="e">
        <f>AND(Versiones!GD7,"AAAAAH/9+mM=")</f>
        <v>#VALUE!</v>
      </c>
      <c r="CW13" s="123" t="e">
        <f>AND(Versiones!GE7,"AAAAAH/9+mQ=")</f>
        <v>#VALUE!</v>
      </c>
      <c r="CX13" s="123" t="e">
        <f>AND(Versiones!GF7,"AAAAAH/9+mU=")</f>
        <v>#VALUE!</v>
      </c>
      <c r="CY13" s="123" t="e">
        <f>AND(Versiones!GG7,"AAAAAH/9+mY=")</f>
        <v>#VALUE!</v>
      </c>
      <c r="CZ13" s="123" t="e">
        <f>AND(Versiones!GH7,"AAAAAH/9+mc=")</f>
        <v>#VALUE!</v>
      </c>
      <c r="DA13" s="123" t="e">
        <f>AND(Versiones!GI7,"AAAAAH/9+mg=")</f>
        <v>#VALUE!</v>
      </c>
      <c r="DB13" s="123" t="e">
        <f>AND(Versiones!GJ7,"AAAAAH/9+mk=")</f>
        <v>#VALUE!</v>
      </c>
      <c r="DC13" s="123" t="e">
        <f>AND(Versiones!GK7,"AAAAAH/9+mo=")</f>
        <v>#VALUE!</v>
      </c>
      <c r="DD13" s="123" t="e">
        <f>AND(Versiones!GL7,"AAAAAH/9+ms=")</f>
        <v>#VALUE!</v>
      </c>
      <c r="DE13" s="123" t="e">
        <f>AND(Versiones!GM7,"AAAAAH/9+mw=")</f>
        <v>#VALUE!</v>
      </c>
      <c r="DF13" s="123" t="e">
        <f>AND(Versiones!GN7,"AAAAAH/9+m0=")</f>
        <v>#VALUE!</v>
      </c>
      <c r="DG13" s="123" t="e">
        <f>AND(Versiones!GO7,"AAAAAH/9+m4=")</f>
        <v>#VALUE!</v>
      </c>
      <c r="DH13" s="123" t="e">
        <f>AND(Versiones!GP7,"AAAAAH/9+m8=")</f>
        <v>#VALUE!</v>
      </c>
      <c r="DI13" s="123" t="e">
        <f>AND(Versiones!GQ7,"AAAAAH/9+nA=")</f>
        <v>#VALUE!</v>
      </c>
      <c r="DJ13" s="123" t="e">
        <f>AND(Versiones!GR7,"AAAAAH/9+nE=")</f>
        <v>#VALUE!</v>
      </c>
      <c r="DK13" s="123" t="e">
        <f>AND(Versiones!GS7,"AAAAAH/9+nI=")</f>
        <v>#VALUE!</v>
      </c>
      <c r="DL13" s="123" t="e">
        <f>AND(Versiones!GT7,"AAAAAH/9+nM=")</f>
        <v>#VALUE!</v>
      </c>
      <c r="DM13" s="123" t="e">
        <f>AND(Versiones!GU7,"AAAAAH/9+nQ=")</f>
        <v>#VALUE!</v>
      </c>
      <c r="DN13" s="123" t="e">
        <f>AND(Versiones!GV7,"AAAAAH/9+nU=")</f>
        <v>#VALUE!</v>
      </c>
      <c r="DO13" s="123" t="e">
        <f>AND(Versiones!GW7,"AAAAAH/9+nY=")</f>
        <v>#VALUE!</v>
      </c>
      <c r="DP13" s="123" t="e">
        <f>AND(Versiones!GX7,"AAAAAH/9+nc=")</f>
        <v>#VALUE!</v>
      </c>
      <c r="DQ13" s="123" t="e">
        <f>AND(Versiones!GY7,"AAAAAH/9+ng=")</f>
        <v>#VALUE!</v>
      </c>
      <c r="DR13" s="123" t="e">
        <f>AND(Versiones!GZ7,"AAAAAH/9+nk=")</f>
        <v>#VALUE!</v>
      </c>
      <c r="DS13" s="123" t="e">
        <f>AND(Versiones!HA7,"AAAAAH/9+no=")</f>
        <v>#VALUE!</v>
      </c>
      <c r="DT13" s="123" t="e">
        <f>AND(Versiones!HB7,"AAAAAH/9+ns=")</f>
        <v>#VALUE!</v>
      </c>
      <c r="DU13" s="123" t="e">
        <f>AND(Versiones!HC7,"AAAAAH/9+nw=")</f>
        <v>#VALUE!</v>
      </c>
      <c r="DV13" s="123" t="e">
        <f>AND(Versiones!HD7,"AAAAAH/9+n0=")</f>
        <v>#VALUE!</v>
      </c>
      <c r="DW13" s="123" t="e">
        <f>AND(Versiones!HE7,"AAAAAH/9+n4=")</f>
        <v>#VALUE!</v>
      </c>
      <c r="DX13" s="123" t="e">
        <f>AND(Versiones!HF7,"AAAAAH/9+n8=")</f>
        <v>#VALUE!</v>
      </c>
      <c r="DY13" s="123" t="e">
        <f>AND(Versiones!HG7,"AAAAAH/9+oA=")</f>
        <v>#VALUE!</v>
      </c>
      <c r="DZ13" s="123" t="e">
        <f>AND(Versiones!HH7,"AAAAAH/9+oE=")</f>
        <v>#VALUE!</v>
      </c>
      <c r="EA13" s="123" t="e">
        <f>AND(Versiones!HI7,"AAAAAH/9+oI=")</f>
        <v>#VALUE!</v>
      </c>
      <c r="EB13" s="123">
        <f>IF(Versiones!8:8,"AAAAAH/9+oM=",0)</f>
        <v>0</v>
      </c>
      <c r="EC13" s="123" t="e">
        <f>AND(Versiones!A8,"AAAAAH/9+oQ=")</f>
        <v>#VALUE!</v>
      </c>
      <c r="ED13" s="123" t="e">
        <f>AND(Versiones!B8,"AAAAAH/9+oU=")</f>
        <v>#VALUE!</v>
      </c>
      <c r="EE13" s="123" t="e">
        <f>AND(Versiones!C8,"AAAAAH/9+oY=")</f>
        <v>#VALUE!</v>
      </c>
      <c r="EF13" s="123" t="e">
        <f>AND(Versiones!D8,"AAAAAH/9+oc=")</f>
        <v>#VALUE!</v>
      </c>
      <c r="EG13" s="123" t="e">
        <f>AND(Versiones!E8,"AAAAAH/9+og=")</f>
        <v>#VALUE!</v>
      </c>
      <c r="EH13" s="123" t="e">
        <f>AND(Versiones!F8,"AAAAAH/9+ok=")</f>
        <v>#VALUE!</v>
      </c>
      <c r="EI13" s="123" t="e">
        <f>AND(Versiones!#REF!,"AAAAAH/9+oo=")</f>
        <v>#REF!</v>
      </c>
      <c r="EJ13" s="123" t="e">
        <f>AND(Versiones!G8,"AAAAAH/9+os=")</f>
        <v>#VALUE!</v>
      </c>
      <c r="EK13" s="123" t="e">
        <f>AND(Versiones!H8,"AAAAAH/9+ow=")</f>
        <v>#VALUE!</v>
      </c>
      <c r="EL13" s="123" t="e">
        <f>AND(Versiones!I8,"AAAAAH/9+o0=")</f>
        <v>#VALUE!</v>
      </c>
      <c r="EM13" s="123" t="e">
        <f>AND(Versiones!J8,"AAAAAH/9+o4=")</f>
        <v>#VALUE!</v>
      </c>
      <c r="EN13" s="123" t="e">
        <f>AND(Versiones!K8,"AAAAAH/9+o8=")</f>
        <v>#VALUE!</v>
      </c>
      <c r="EO13" s="123" t="e">
        <f>AND(Versiones!L8,"AAAAAH/9+pA=")</f>
        <v>#VALUE!</v>
      </c>
      <c r="EP13" s="123" t="e">
        <f>AND(Versiones!M8,"AAAAAH/9+pE=")</f>
        <v>#VALUE!</v>
      </c>
      <c r="EQ13" s="123" t="e">
        <f>AND(Versiones!N8,"AAAAAH/9+pI=")</f>
        <v>#VALUE!</v>
      </c>
      <c r="ER13" s="123" t="e">
        <f>AND(Versiones!O8,"AAAAAH/9+pM=")</f>
        <v>#VALUE!</v>
      </c>
      <c r="ES13" s="123" t="e">
        <f>AND(Versiones!P8,"AAAAAH/9+pQ=")</f>
        <v>#VALUE!</v>
      </c>
      <c r="ET13" s="123" t="e">
        <f>AND(Versiones!Q8,"AAAAAH/9+pU=")</f>
        <v>#VALUE!</v>
      </c>
      <c r="EU13" s="123" t="e">
        <f>AND(Versiones!R8,"AAAAAH/9+pY=")</f>
        <v>#VALUE!</v>
      </c>
      <c r="EV13" s="123" t="e">
        <f>AND(Versiones!S8,"AAAAAH/9+pc=")</f>
        <v>#VALUE!</v>
      </c>
      <c r="EW13" s="123" t="e">
        <f>AND(Versiones!T8,"AAAAAH/9+pg=")</f>
        <v>#VALUE!</v>
      </c>
      <c r="EX13" s="123" t="e">
        <f>AND(Versiones!U8,"AAAAAH/9+pk=")</f>
        <v>#VALUE!</v>
      </c>
      <c r="EY13" s="123" t="e">
        <f>AND(Versiones!V8,"AAAAAH/9+po=")</f>
        <v>#VALUE!</v>
      </c>
      <c r="EZ13" s="123" t="e">
        <f>AND(Versiones!W8,"AAAAAH/9+ps=")</f>
        <v>#VALUE!</v>
      </c>
      <c r="FA13" s="123" t="e">
        <f>AND(Versiones!X8,"AAAAAH/9+pw=")</f>
        <v>#VALUE!</v>
      </c>
      <c r="FB13" s="123" t="e">
        <f>AND(Versiones!Y8,"AAAAAH/9+p0=")</f>
        <v>#VALUE!</v>
      </c>
      <c r="FC13" s="123" t="e">
        <f>AND(Versiones!Z8,"AAAAAH/9+p4=")</f>
        <v>#VALUE!</v>
      </c>
      <c r="FD13" s="123" t="e">
        <f>AND(Versiones!AA8,"AAAAAH/9+p8=")</f>
        <v>#VALUE!</v>
      </c>
      <c r="FE13" s="123" t="e">
        <f>AND(Versiones!AB8,"AAAAAH/9+qA=")</f>
        <v>#VALUE!</v>
      </c>
      <c r="FF13" s="123" t="e">
        <f>AND(Versiones!AC8,"AAAAAH/9+qE=")</f>
        <v>#VALUE!</v>
      </c>
      <c r="FG13" s="123" t="e">
        <f>AND(Versiones!AD8,"AAAAAH/9+qI=")</f>
        <v>#VALUE!</v>
      </c>
      <c r="FH13" s="123" t="e">
        <f>AND(Versiones!AE8,"AAAAAH/9+qM=")</f>
        <v>#VALUE!</v>
      </c>
      <c r="FI13" s="123" t="e">
        <f>AND(Versiones!AF8,"AAAAAH/9+qQ=")</f>
        <v>#VALUE!</v>
      </c>
      <c r="FJ13" s="123" t="e">
        <f>AND(Versiones!AG8,"AAAAAH/9+qU=")</f>
        <v>#VALUE!</v>
      </c>
      <c r="FK13" s="123" t="e">
        <f>AND(Versiones!AH8,"AAAAAH/9+qY=")</f>
        <v>#VALUE!</v>
      </c>
      <c r="FL13" s="123" t="e">
        <f>AND(Versiones!AI8,"AAAAAH/9+qc=")</f>
        <v>#VALUE!</v>
      </c>
      <c r="FM13" s="123" t="e">
        <f>AND(Versiones!AJ8,"AAAAAH/9+qg=")</f>
        <v>#VALUE!</v>
      </c>
      <c r="FN13" s="123" t="e">
        <f>AND(Versiones!AK8,"AAAAAH/9+qk=")</f>
        <v>#VALUE!</v>
      </c>
      <c r="FO13" s="123" t="e">
        <f>AND(Versiones!AL8,"AAAAAH/9+qo=")</f>
        <v>#VALUE!</v>
      </c>
      <c r="FP13" s="123" t="e">
        <f>AND(Versiones!AM8,"AAAAAH/9+qs=")</f>
        <v>#VALUE!</v>
      </c>
      <c r="FQ13" s="123" t="e">
        <f>AND(Versiones!AN8,"AAAAAH/9+qw=")</f>
        <v>#VALUE!</v>
      </c>
      <c r="FR13" s="123" t="e">
        <f>AND(Versiones!AO8,"AAAAAH/9+q0=")</f>
        <v>#VALUE!</v>
      </c>
      <c r="FS13" s="123" t="e">
        <f>AND(Versiones!AP8,"AAAAAH/9+q4=")</f>
        <v>#VALUE!</v>
      </c>
      <c r="FT13" s="123" t="e">
        <f>AND(Versiones!AQ8,"AAAAAH/9+q8=")</f>
        <v>#VALUE!</v>
      </c>
      <c r="FU13" s="123" t="e">
        <f>AND(Versiones!AR8,"AAAAAH/9+rA=")</f>
        <v>#VALUE!</v>
      </c>
      <c r="FV13" s="123" t="e">
        <f>AND(Versiones!AS8,"AAAAAH/9+rE=")</f>
        <v>#VALUE!</v>
      </c>
      <c r="FW13" s="123" t="e">
        <f>AND(Versiones!AT8,"AAAAAH/9+rI=")</f>
        <v>#VALUE!</v>
      </c>
      <c r="FX13" s="123" t="e">
        <f>AND(Versiones!AU8,"AAAAAH/9+rM=")</f>
        <v>#VALUE!</v>
      </c>
      <c r="FY13" s="123" t="e">
        <f>AND(Versiones!AV8,"AAAAAH/9+rQ=")</f>
        <v>#VALUE!</v>
      </c>
      <c r="FZ13" s="123" t="e">
        <f>AND(Versiones!AW8,"AAAAAH/9+rU=")</f>
        <v>#VALUE!</v>
      </c>
      <c r="GA13" s="123" t="e">
        <f>AND(Versiones!AX8,"AAAAAH/9+rY=")</f>
        <v>#VALUE!</v>
      </c>
      <c r="GB13" s="123" t="e">
        <f>AND(Versiones!AY8,"AAAAAH/9+rc=")</f>
        <v>#VALUE!</v>
      </c>
      <c r="GC13" s="123" t="e">
        <f>AND(Versiones!AZ8,"AAAAAH/9+rg=")</f>
        <v>#VALUE!</v>
      </c>
      <c r="GD13" s="123" t="e">
        <f>AND(Versiones!BA8,"AAAAAH/9+rk=")</f>
        <v>#VALUE!</v>
      </c>
      <c r="GE13" s="123" t="e">
        <f>AND(Versiones!BB8,"AAAAAH/9+ro=")</f>
        <v>#VALUE!</v>
      </c>
      <c r="GF13" s="123" t="e">
        <f>AND(Versiones!BC8,"AAAAAH/9+rs=")</f>
        <v>#VALUE!</v>
      </c>
      <c r="GG13" s="123" t="e">
        <f>AND(Versiones!BD8,"AAAAAH/9+rw=")</f>
        <v>#VALUE!</v>
      </c>
      <c r="GH13" s="123" t="e">
        <f>AND(Versiones!BE8,"AAAAAH/9+r0=")</f>
        <v>#VALUE!</v>
      </c>
      <c r="GI13" s="123" t="e">
        <f>AND(Versiones!BF8,"AAAAAH/9+r4=")</f>
        <v>#VALUE!</v>
      </c>
      <c r="GJ13" s="123" t="e">
        <f>AND(Versiones!BG8,"AAAAAH/9+r8=")</f>
        <v>#VALUE!</v>
      </c>
      <c r="GK13" s="123" t="e">
        <f>AND(Versiones!BH8,"AAAAAH/9+sA=")</f>
        <v>#VALUE!</v>
      </c>
      <c r="GL13" s="123" t="e">
        <f>AND(Versiones!BI8,"AAAAAH/9+sE=")</f>
        <v>#VALUE!</v>
      </c>
      <c r="GM13" s="123" t="e">
        <f>AND(Versiones!BJ8,"AAAAAH/9+sI=")</f>
        <v>#VALUE!</v>
      </c>
      <c r="GN13" s="123" t="e">
        <f>AND(Versiones!BK8,"AAAAAH/9+sM=")</f>
        <v>#VALUE!</v>
      </c>
      <c r="GO13" s="123" t="e">
        <f>AND(Versiones!BL8,"AAAAAH/9+sQ=")</f>
        <v>#VALUE!</v>
      </c>
      <c r="GP13" s="123" t="e">
        <f>AND(Versiones!BM8,"AAAAAH/9+sU=")</f>
        <v>#VALUE!</v>
      </c>
      <c r="GQ13" s="123" t="e">
        <f>AND(Versiones!BN8,"AAAAAH/9+sY=")</f>
        <v>#VALUE!</v>
      </c>
      <c r="GR13" s="123" t="e">
        <f>AND(Versiones!BO8,"AAAAAH/9+sc=")</f>
        <v>#VALUE!</v>
      </c>
      <c r="GS13" s="123" t="e">
        <f>AND(Versiones!BP8,"AAAAAH/9+sg=")</f>
        <v>#VALUE!</v>
      </c>
      <c r="GT13" s="123" t="e">
        <f>AND(Versiones!BQ8,"AAAAAH/9+sk=")</f>
        <v>#VALUE!</v>
      </c>
      <c r="GU13" s="123" t="e">
        <f>AND(Versiones!BR8,"AAAAAH/9+so=")</f>
        <v>#VALUE!</v>
      </c>
      <c r="GV13" s="123" t="e">
        <f>AND(Versiones!BS8,"AAAAAH/9+ss=")</f>
        <v>#VALUE!</v>
      </c>
      <c r="GW13" s="123" t="e">
        <f>AND(Versiones!BT8,"AAAAAH/9+sw=")</f>
        <v>#VALUE!</v>
      </c>
      <c r="GX13" s="123" t="e">
        <f>AND(Versiones!BU8,"AAAAAH/9+s0=")</f>
        <v>#VALUE!</v>
      </c>
      <c r="GY13" s="123" t="e">
        <f>AND(Versiones!BV8,"AAAAAH/9+s4=")</f>
        <v>#VALUE!</v>
      </c>
      <c r="GZ13" s="123" t="e">
        <f>AND(Versiones!BW8,"AAAAAH/9+s8=")</f>
        <v>#VALUE!</v>
      </c>
      <c r="HA13" s="123" t="e">
        <f>AND(Versiones!BX8,"AAAAAH/9+tA=")</f>
        <v>#VALUE!</v>
      </c>
      <c r="HB13" s="123" t="e">
        <f>AND(Versiones!BY8,"AAAAAH/9+tE=")</f>
        <v>#VALUE!</v>
      </c>
      <c r="HC13" s="123" t="e">
        <f>AND(Versiones!BZ8,"AAAAAH/9+tI=")</f>
        <v>#VALUE!</v>
      </c>
      <c r="HD13" s="123" t="e">
        <f>AND(Versiones!CA8,"AAAAAH/9+tM=")</f>
        <v>#VALUE!</v>
      </c>
      <c r="HE13" s="123" t="e">
        <f>AND(Versiones!CB8,"AAAAAH/9+tQ=")</f>
        <v>#VALUE!</v>
      </c>
      <c r="HF13" s="123" t="e">
        <f>AND(Versiones!CC8,"AAAAAH/9+tU=")</f>
        <v>#VALUE!</v>
      </c>
      <c r="HG13" s="123" t="e">
        <f>AND(Versiones!CD8,"AAAAAH/9+tY=")</f>
        <v>#VALUE!</v>
      </c>
      <c r="HH13" s="123" t="e">
        <f>AND(Versiones!CE8,"AAAAAH/9+tc=")</f>
        <v>#VALUE!</v>
      </c>
      <c r="HI13" s="123" t="e">
        <f>AND(Versiones!CF8,"AAAAAH/9+tg=")</f>
        <v>#VALUE!</v>
      </c>
      <c r="HJ13" s="123" t="e">
        <f>AND(Versiones!CG8,"AAAAAH/9+tk=")</f>
        <v>#VALUE!</v>
      </c>
      <c r="HK13" s="123" t="e">
        <f>AND(Versiones!CH8,"AAAAAH/9+to=")</f>
        <v>#VALUE!</v>
      </c>
      <c r="HL13" s="123" t="e">
        <f>AND(Versiones!CI8,"AAAAAH/9+ts=")</f>
        <v>#VALUE!</v>
      </c>
      <c r="HM13" s="123" t="e">
        <f>AND(Versiones!CJ8,"AAAAAH/9+tw=")</f>
        <v>#VALUE!</v>
      </c>
      <c r="HN13" s="123" t="e">
        <f>AND(Versiones!CK8,"AAAAAH/9+t0=")</f>
        <v>#VALUE!</v>
      </c>
      <c r="HO13" s="123" t="e">
        <f>AND(Versiones!CL8,"AAAAAH/9+t4=")</f>
        <v>#VALUE!</v>
      </c>
      <c r="HP13" s="123" t="e">
        <f>AND(Versiones!CM8,"AAAAAH/9+t8=")</f>
        <v>#VALUE!</v>
      </c>
      <c r="HQ13" s="123" t="e">
        <f>AND(Versiones!CN8,"AAAAAH/9+uA=")</f>
        <v>#VALUE!</v>
      </c>
      <c r="HR13" s="123" t="e">
        <f>AND(Versiones!CO8,"AAAAAH/9+uE=")</f>
        <v>#VALUE!</v>
      </c>
      <c r="HS13" s="123" t="e">
        <f>AND(Versiones!CP8,"AAAAAH/9+uI=")</f>
        <v>#VALUE!</v>
      </c>
      <c r="HT13" s="123" t="e">
        <f>AND(Versiones!CQ8,"AAAAAH/9+uM=")</f>
        <v>#VALUE!</v>
      </c>
      <c r="HU13" s="123" t="e">
        <f>AND(Versiones!CR8,"AAAAAH/9+uQ=")</f>
        <v>#VALUE!</v>
      </c>
      <c r="HV13" s="123" t="e">
        <f>AND(Versiones!CS8,"AAAAAH/9+uU=")</f>
        <v>#VALUE!</v>
      </c>
      <c r="HW13" s="123" t="e">
        <f>AND(Versiones!CT8,"AAAAAH/9+uY=")</f>
        <v>#VALUE!</v>
      </c>
      <c r="HX13" s="123" t="e">
        <f>AND(Versiones!CU8,"AAAAAH/9+uc=")</f>
        <v>#VALUE!</v>
      </c>
      <c r="HY13" s="123" t="e">
        <f>AND(Versiones!CV8,"AAAAAH/9+ug=")</f>
        <v>#VALUE!</v>
      </c>
      <c r="HZ13" s="123" t="e">
        <f>AND(Versiones!CW8,"AAAAAH/9+uk=")</f>
        <v>#VALUE!</v>
      </c>
      <c r="IA13" s="123" t="e">
        <f>AND(Versiones!CX8,"AAAAAH/9+uo=")</f>
        <v>#VALUE!</v>
      </c>
      <c r="IB13" s="123" t="e">
        <f>AND(Versiones!CY8,"AAAAAH/9+us=")</f>
        <v>#VALUE!</v>
      </c>
      <c r="IC13" s="123" t="e">
        <f>AND(Versiones!CZ8,"AAAAAH/9+uw=")</f>
        <v>#VALUE!</v>
      </c>
      <c r="ID13" s="123" t="e">
        <f>AND(Versiones!DA8,"AAAAAH/9+u0=")</f>
        <v>#VALUE!</v>
      </c>
      <c r="IE13" s="123" t="e">
        <f>AND(Versiones!DB8,"AAAAAH/9+u4=")</f>
        <v>#VALUE!</v>
      </c>
      <c r="IF13" s="123" t="e">
        <f>AND(Versiones!DC8,"AAAAAH/9+u8=")</f>
        <v>#VALUE!</v>
      </c>
      <c r="IG13" s="123" t="e">
        <f>AND(Versiones!DD8,"AAAAAH/9+vA=")</f>
        <v>#VALUE!</v>
      </c>
      <c r="IH13" s="123" t="e">
        <f>AND(Versiones!DE8,"AAAAAH/9+vE=")</f>
        <v>#VALUE!</v>
      </c>
      <c r="II13" s="123" t="e">
        <f>AND(Versiones!DF8,"AAAAAH/9+vI=")</f>
        <v>#VALUE!</v>
      </c>
      <c r="IJ13" s="123" t="e">
        <f>AND(Versiones!DG8,"AAAAAH/9+vM=")</f>
        <v>#VALUE!</v>
      </c>
      <c r="IK13" s="123" t="e">
        <f>AND(Versiones!DH8,"AAAAAH/9+vQ=")</f>
        <v>#VALUE!</v>
      </c>
      <c r="IL13" s="123" t="e">
        <f>AND(Versiones!DI8,"AAAAAH/9+vU=")</f>
        <v>#VALUE!</v>
      </c>
      <c r="IM13" s="123" t="e">
        <f>AND(Versiones!DJ8,"AAAAAH/9+vY=")</f>
        <v>#VALUE!</v>
      </c>
      <c r="IN13" s="123" t="e">
        <f>AND(Versiones!DK8,"AAAAAH/9+vc=")</f>
        <v>#VALUE!</v>
      </c>
      <c r="IO13" s="123" t="e">
        <f>AND(Versiones!DL8,"AAAAAH/9+vg=")</f>
        <v>#VALUE!</v>
      </c>
      <c r="IP13" s="123" t="e">
        <f>AND(Versiones!DM8,"AAAAAH/9+vk=")</f>
        <v>#VALUE!</v>
      </c>
      <c r="IQ13" s="123" t="e">
        <f>AND(Versiones!DN8,"AAAAAH/9+vo=")</f>
        <v>#VALUE!</v>
      </c>
      <c r="IR13" s="123" t="e">
        <f>AND(Versiones!DO8,"AAAAAH/9+vs=")</f>
        <v>#VALUE!</v>
      </c>
      <c r="IS13" s="123" t="e">
        <f>AND(Versiones!DP8,"AAAAAH/9+vw=")</f>
        <v>#VALUE!</v>
      </c>
      <c r="IT13" s="123" t="e">
        <f>AND(Versiones!DQ8,"AAAAAH/9+v0=")</f>
        <v>#VALUE!</v>
      </c>
      <c r="IU13" s="123" t="e">
        <f>AND(Versiones!DR8,"AAAAAH/9+v4=")</f>
        <v>#VALUE!</v>
      </c>
      <c r="IV13" s="123" t="e">
        <f>AND(Versiones!DS8,"AAAAAH/9+v8=")</f>
        <v>#VALUE!</v>
      </c>
    </row>
    <row r="14" spans="1:256" ht="14.4">
      <c r="A14" s="123" t="e">
        <f>AND(Versiones!DT8,"AAAAAHT8/QA=")</f>
        <v>#VALUE!</v>
      </c>
      <c r="B14" s="123" t="e">
        <f>AND(Versiones!DU8,"AAAAAHT8/QE=")</f>
        <v>#VALUE!</v>
      </c>
      <c r="C14" s="123" t="e">
        <f>AND(Versiones!DV8,"AAAAAHT8/QI=")</f>
        <v>#VALUE!</v>
      </c>
      <c r="D14" s="123" t="e">
        <f>AND(Versiones!DW8,"AAAAAHT8/QM=")</f>
        <v>#VALUE!</v>
      </c>
      <c r="E14" s="123" t="e">
        <f>AND(Versiones!DX8,"AAAAAHT8/QQ=")</f>
        <v>#VALUE!</v>
      </c>
      <c r="F14" s="123" t="e">
        <f>AND(Versiones!DY8,"AAAAAHT8/QU=")</f>
        <v>#VALUE!</v>
      </c>
      <c r="G14" s="123" t="e">
        <f>AND(Versiones!DZ8,"AAAAAHT8/QY=")</f>
        <v>#VALUE!</v>
      </c>
      <c r="H14" s="123" t="e">
        <f>AND(Versiones!EA8,"AAAAAHT8/Qc=")</f>
        <v>#VALUE!</v>
      </c>
      <c r="I14" s="123" t="e">
        <f>AND(Versiones!EB8,"AAAAAHT8/Qg=")</f>
        <v>#VALUE!</v>
      </c>
      <c r="J14" s="123" t="e">
        <f>AND(Versiones!EC8,"AAAAAHT8/Qk=")</f>
        <v>#VALUE!</v>
      </c>
      <c r="K14" s="123" t="e">
        <f>AND(Versiones!ED8,"AAAAAHT8/Qo=")</f>
        <v>#VALUE!</v>
      </c>
      <c r="L14" s="123" t="e">
        <f>AND(Versiones!EE8,"AAAAAHT8/Qs=")</f>
        <v>#VALUE!</v>
      </c>
      <c r="M14" s="123" t="e">
        <f>AND(Versiones!EF8,"AAAAAHT8/Qw=")</f>
        <v>#VALUE!</v>
      </c>
      <c r="N14" s="123" t="e">
        <f>AND(Versiones!EG8,"AAAAAHT8/Q0=")</f>
        <v>#VALUE!</v>
      </c>
      <c r="O14" s="123" t="e">
        <f>AND(Versiones!EH8,"AAAAAHT8/Q4=")</f>
        <v>#VALUE!</v>
      </c>
      <c r="P14" s="123" t="e">
        <f>AND(Versiones!EI8,"AAAAAHT8/Q8=")</f>
        <v>#VALUE!</v>
      </c>
      <c r="Q14" s="123" t="e">
        <f>AND(Versiones!EJ8,"AAAAAHT8/RA=")</f>
        <v>#VALUE!</v>
      </c>
      <c r="R14" s="123" t="e">
        <f>AND(Versiones!EK8,"AAAAAHT8/RE=")</f>
        <v>#VALUE!</v>
      </c>
      <c r="S14" s="123" t="e">
        <f>AND(Versiones!EL8,"AAAAAHT8/RI=")</f>
        <v>#VALUE!</v>
      </c>
      <c r="T14" s="123" t="e">
        <f>AND(Versiones!EM8,"AAAAAHT8/RM=")</f>
        <v>#VALUE!</v>
      </c>
      <c r="U14" s="123" t="e">
        <f>AND(Versiones!EN8,"AAAAAHT8/RQ=")</f>
        <v>#VALUE!</v>
      </c>
      <c r="V14" s="123" t="e">
        <f>AND(Versiones!EO8,"AAAAAHT8/RU=")</f>
        <v>#VALUE!</v>
      </c>
      <c r="W14" s="123" t="e">
        <f>AND(Versiones!EP8,"AAAAAHT8/RY=")</f>
        <v>#VALUE!</v>
      </c>
      <c r="X14" s="123" t="e">
        <f>AND(Versiones!EQ8,"AAAAAHT8/Rc=")</f>
        <v>#VALUE!</v>
      </c>
      <c r="Y14" s="123" t="e">
        <f>AND(Versiones!ER8,"AAAAAHT8/Rg=")</f>
        <v>#VALUE!</v>
      </c>
      <c r="Z14" s="123" t="e">
        <f>AND(Versiones!ES8,"AAAAAHT8/Rk=")</f>
        <v>#VALUE!</v>
      </c>
      <c r="AA14" s="123" t="e">
        <f>AND(Versiones!ET8,"AAAAAHT8/Ro=")</f>
        <v>#VALUE!</v>
      </c>
      <c r="AB14" s="123" t="e">
        <f>AND(Versiones!EU8,"AAAAAHT8/Rs=")</f>
        <v>#VALUE!</v>
      </c>
      <c r="AC14" s="123" t="e">
        <f>AND(Versiones!EV8,"AAAAAHT8/Rw=")</f>
        <v>#VALUE!</v>
      </c>
      <c r="AD14" s="123" t="e">
        <f>AND(Versiones!EW8,"AAAAAHT8/R0=")</f>
        <v>#VALUE!</v>
      </c>
      <c r="AE14" s="123" t="e">
        <f>AND(Versiones!EX8,"AAAAAHT8/R4=")</f>
        <v>#VALUE!</v>
      </c>
      <c r="AF14" s="123" t="e">
        <f>AND(Versiones!EY8,"AAAAAHT8/R8=")</f>
        <v>#VALUE!</v>
      </c>
      <c r="AG14" s="123" t="e">
        <f>AND(Versiones!EZ8,"AAAAAHT8/SA=")</f>
        <v>#VALUE!</v>
      </c>
      <c r="AH14" s="123" t="e">
        <f>AND(Versiones!FA8,"AAAAAHT8/SE=")</f>
        <v>#VALUE!</v>
      </c>
      <c r="AI14" s="123" t="e">
        <f>AND(Versiones!FB8,"AAAAAHT8/SI=")</f>
        <v>#VALUE!</v>
      </c>
      <c r="AJ14" s="123" t="e">
        <f>AND(Versiones!FC8,"AAAAAHT8/SM=")</f>
        <v>#VALUE!</v>
      </c>
      <c r="AK14" s="123" t="e">
        <f>AND(Versiones!FD8,"AAAAAHT8/SQ=")</f>
        <v>#VALUE!</v>
      </c>
      <c r="AL14" s="123" t="e">
        <f>AND(Versiones!FE8,"AAAAAHT8/SU=")</f>
        <v>#VALUE!</v>
      </c>
      <c r="AM14" s="123" t="e">
        <f>AND(Versiones!FF8,"AAAAAHT8/SY=")</f>
        <v>#VALUE!</v>
      </c>
      <c r="AN14" s="123" t="e">
        <f>AND(Versiones!FG8,"AAAAAHT8/Sc=")</f>
        <v>#VALUE!</v>
      </c>
      <c r="AO14" s="123" t="e">
        <f>AND(Versiones!FH8,"AAAAAHT8/Sg=")</f>
        <v>#VALUE!</v>
      </c>
      <c r="AP14" s="123" t="e">
        <f>AND(Versiones!FI8,"AAAAAHT8/Sk=")</f>
        <v>#VALUE!</v>
      </c>
      <c r="AQ14" s="123" t="e">
        <f>AND(Versiones!FJ8,"AAAAAHT8/So=")</f>
        <v>#VALUE!</v>
      </c>
      <c r="AR14" s="123" t="e">
        <f>AND(Versiones!FK8,"AAAAAHT8/Ss=")</f>
        <v>#VALUE!</v>
      </c>
      <c r="AS14" s="123" t="e">
        <f>AND(Versiones!FL8,"AAAAAHT8/Sw=")</f>
        <v>#VALUE!</v>
      </c>
      <c r="AT14" s="123" t="e">
        <f>AND(Versiones!FM8,"AAAAAHT8/S0=")</f>
        <v>#VALUE!</v>
      </c>
      <c r="AU14" s="123" t="e">
        <f>AND(Versiones!FN8,"AAAAAHT8/S4=")</f>
        <v>#VALUE!</v>
      </c>
      <c r="AV14" s="123" t="e">
        <f>AND(Versiones!FO8,"AAAAAHT8/S8=")</f>
        <v>#VALUE!</v>
      </c>
      <c r="AW14" s="123" t="e">
        <f>AND(Versiones!FP8,"AAAAAHT8/TA=")</f>
        <v>#VALUE!</v>
      </c>
      <c r="AX14" s="123" t="e">
        <f>AND(Versiones!FQ8,"AAAAAHT8/TE=")</f>
        <v>#VALUE!</v>
      </c>
      <c r="AY14" s="123" t="e">
        <f>AND(Versiones!FR8,"AAAAAHT8/TI=")</f>
        <v>#VALUE!</v>
      </c>
      <c r="AZ14" s="123" t="e">
        <f>AND(Versiones!FS8,"AAAAAHT8/TM=")</f>
        <v>#VALUE!</v>
      </c>
      <c r="BA14" s="123" t="e">
        <f>AND(Versiones!FT8,"AAAAAHT8/TQ=")</f>
        <v>#VALUE!</v>
      </c>
      <c r="BB14" s="123" t="e">
        <f>AND(Versiones!FU8,"AAAAAHT8/TU=")</f>
        <v>#VALUE!</v>
      </c>
      <c r="BC14" s="123" t="e">
        <f>AND(Versiones!FV8,"AAAAAHT8/TY=")</f>
        <v>#VALUE!</v>
      </c>
      <c r="BD14" s="123" t="e">
        <f>AND(Versiones!FW8,"AAAAAHT8/Tc=")</f>
        <v>#VALUE!</v>
      </c>
      <c r="BE14" s="123" t="e">
        <f>AND(Versiones!FX8,"AAAAAHT8/Tg=")</f>
        <v>#VALUE!</v>
      </c>
      <c r="BF14" s="123" t="e">
        <f>AND(Versiones!FY8,"AAAAAHT8/Tk=")</f>
        <v>#VALUE!</v>
      </c>
      <c r="BG14" s="123" t="e">
        <f>AND(Versiones!FZ8,"AAAAAHT8/To=")</f>
        <v>#VALUE!</v>
      </c>
      <c r="BH14" s="123" t="e">
        <f>AND(Versiones!GA8,"AAAAAHT8/Ts=")</f>
        <v>#VALUE!</v>
      </c>
      <c r="BI14" s="123" t="e">
        <f>AND(Versiones!GB8,"AAAAAHT8/Tw=")</f>
        <v>#VALUE!</v>
      </c>
      <c r="BJ14" s="123" t="e">
        <f>AND(Versiones!GC8,"AAAAAHT8/T0=")</f>
        <v>#VALUE!</v>
      </c>
      <c r="BK14" s="123" t="e">
        <f>AND(Versiones!GD8,"AAAAAHT8/T4=")</f>
        <v>#VALUE!</v>
      </c>
      <c r="BL14" s="123" t="e">
        <f>AND(Versiones!GE8,"AAAAAHT8/T8=")</f>
        <v>#VALUE!</v>
      </c>
      <c r="BM14" s="123" t="e">
        <f>AND(Versiones!GF8,"AAAAAHT8/UA=")</f>
        <v>#VALUE!</v>
      </c>
      <c r="BN14" s="123" t="e">
        <f>AND(Versiones!GG8,"AAAAAHT8/UE=")</f>
        <v>#VALUE!</v>
      </c>
      <c r="BO14" s="123" t="e">
        <f>AND(Versiones!GH8,"AAAAAHT8/UI=")</f>
        <v>#VALUE!</v>
      </c>
      <c r="BP14" s="123" t="e">
        <f>AND(Versiones!GI8,"AAAAAHT8/UM=")</f>
        <v>#VALUE!</v>
      </c>
      <c r="BQ14" s="123" t="e">
        <f>AND(Versiones!GJ8,"AAAAAHT8/UQ=")</f>
        <v>#VALUE!</v>
      </c>
      <c r="BR14" s="123" t="e">
        <f>AND(Versiones!GK8,"AAAAAHT8/UU=")</f>
        <v>#VALUE!</v>
      </c>
      <c r="BS14" s="123" t="e">
        <f>AND(Versiones!GL8,"AAAAAHT8/UY=")</f>
        <v>#VALUE!</v>
      </c>
      <c r="BT14" s="123" t="e">
        <f>AND(Versiones!GM8,"AAAAAHT8/Uc=")</f>
        <v>#VALUE!</v>
      </c>
      <c r="BU14" s="123" t="e">
        <f>AND(Versiones!GN8,"AAAAAHT8/Ug=")</f>
        <v>#VALUE!</v>
      </c>
      <c r="BV14" s="123" t="e">
        <f>AND(Versiones!GO8,"AAAAAHT8/Uk=")</f>
        <v>#VALUE!</v>
      </c>
      <c r="BW14" s="123" t="e">
        <f>AND(Versiones!GP8,"AAAAAHT8/Uo=")</f>
        <v>#VALUE!</v>
      </c>
      <c r="BX14" s="123" t="e">
        <f>AND(Versiones!GQ8,"AAAAAHT8/Us=")</f>
        <v>#VALUE!</v>
      </c>
      <c r="BY14" s="123" t="e">
        <f>AND(Versiones!GR8,"AAAAAHT8/Uw=")</f>
        <v>#VALUE!</v>
      </c>
      <c r="BZ14" s="123" t="e">
        <f>AND(Versiones!GS8,"AAAAAHT8/U0=")</f>
        <v>#VALUE!</v>
      </c>
      <c r="CA14" s="123" t="e">
        <f>AND(Versiones!GT8,"AAAAAHT8/U4=")</f>
        <v>#VALUE!</v>
      </c>
      <c r="CB14" s="123" t="e">
        <f>AND(Versiones!GU8,"AAAAAHT8/U8=")</f>
        <v>#VALUE!</v>
      </c>
      <c r="CC14" s="123" t="e">
        <f>AND(Versiones!GV8,"AAAAAHT8/VA=")</f>
        <v>#VALUE!</v>
      </c>
      <c r="CD14" s="123" t="e">
        <f>AND(Versiones!GW8,"AAAAAHT8/VE=")</f>
        <v>#VALUE!</v>
      </c>
      <c r="CE14" s="123" t="e">
        <f>AND(Versiones!GX8,"AAAAAHT8/VI=")</f>
        <v>#VALUE!</v>
      </c>
      <c r="CF14" s="123" t="e">
        <f>AND(Versiones!GY8,"AAAAAHT8/VM=")</f>
        <v>#VALUE!</v>
      </c>
      <c r="CG14" s="123" t="e">
        <f>AND(Versiones!GZ8,"AAAAAHT8/VQ=")</f>
        <v>#VALUE!</v>
      </c>
      <c r="CH14" s="123" t="e">
        <f>AND(Versiones!HA8,"AAAAAHT8/VU=")</f>
        <v>#VALUE!</v>
      </c>
      <c r="CI14" s="123" t="e">
        <f>AND(Versiones!HB8,"AAAAAHT8/VY=")</f>
        <v>#VALUE!</v>
      </c>
      <c r="CJ14" s="123" t="e">
        <f>AND(Versiones!HC8,"AAAAAHT8/Vc=")</f>
        <v>#VALUE!</v>
      </c>
      <c r="CK14" s="123" t="e">
        <f>AND(Versiones!HD8,"AAAAAHT8/Vg=")</f>
        <v>#VALUE!</v>
      </c>
      <c r="CL14" s="123" t="e">
        <f>AND(Versiones!HE8,"AAAAAHT8/Vk=")</f>
        <v>#VALUE!</v>
      </c>
      <c r="CM14" s="123" t="e">
        <f>AND(Versiones!HF8,"AAAAAHT8/Vo=")</f>
        <v>#VALUE!</v>
      </c>
      <c r="CN14" s="123" t="e">
        <f>AND(Versiones!HG8,"AAAAAHT8/Vs=")</f>
        <v>#VALUE!</v>
      </c>
      <c r="CO14" s="123" t="e">
        <f>AND(Versiones!HH8,"AAAAAHT8/Vw=")</f>
        <v>#VALUE!</v>
      </c>
      <c r="CP14" s="123" t="e">
        <f>AND(Versiones!HI8,"AAAAAHT8/V0=")</f>
        <v>#VALUE!</v>
      </c>
      <c r="CQ14" s="123">
        <f>IF(Versiones!9:9,"AAAAAHT8/V4=",0)</f>
        <v>0</v>
      </c>
      <c r="CR14" s="123" t="e">
        <f>AND(Versiones!A9,"AAAAAHT8/V8=")</f>
        <v>#VALUE!</v>
      </c>
      <c r="CS14" s="123" t="e">
        <f>AND(Versiones!B9,"AAAAAHT8/WA=")</f>
        <v>#VALUE!</v>
      </c>
      <c r="CT14" s="123" t="e">
        <f>AND(Versiones!C9,"AAAAAHT8/WE=")</f>
        <v>#VALUE!</v>
      </c>
      <c r="CU14" s="123" t="e">
        <f>AND(Versiones!D9,"AAAAAHT8/WI=")</f>
        <v>#VALUE!</v>
      </c>
      <c r="CV14" s="123" t="e">
        <f>AND(Versiones!E9,"AAAAAHT8/WM=")</f>
        <v>#VALUE!</v>
      </c>
      <c r="CW14" s="123" t="e">
        <f>AND(Versiones!F9,"AAAAAHT8/WQ=")</f>
        <v>#VALUE!</v>
      </c>
      <c r="CX14" s="123" t="e">
        <f>AND(Versiones!#REF!,"AAAAAHT8/WU=")</f>
        <v>#REF!</v>
      </c>
      <c r="CY14" s="123" t="e">
        <f>AND(Versiones!G9,"AAAAAHT8/WY=")</f>
        <v>#VALUE!</v>
      </c>
      <c r="CZ14" s="123" t="e">
        <f>AND(Versiones!H9,"AAAAAHT8/Wc=")</f>
        <v>#VALUE!</v>
      </c>
      <c r="DA14" s="123" t="e">
        <f>AND(Versiones!I9,"AAAAAHT8/Wg=")</f>
        <v>#VALUE!</v>
      </c>
      <c r="DB14" s="123" t="e">
        <f>AND(Versiones!J9,"AAAAAHT8/Wk=")</f>
        <v>#VALUE!</v>
      </c>
      <c r="DC14" s="123" t="e">
        <f>AND(Versiones!K9,"AAAAAHT8/Wo=")</f>
        <v>#VALUE!</v>
      </c>
      <c r="DD14" s="123" t="e">
        <f>AND(Versiones!L9,"AAAAAHT8/Ws=")</f>
        <v>#VALUE!</v>
      </c>
      <c r="DE14" s="123" t="e">
        <f>AND(Versiones!M9,"AAAAAHT8/Ww=")</f>
        <v>#VALUE!</v>
      </c>
      <c r="DF14" s="123" t="e">
        <f>AND(Versiones!N9,"AAAAAHT8/W0=")</f>
        <v>#VALUE!</v>
      </c>
      <c r="DG14" s="123" t="e">
        <f>AND(Versiones!O9,"AAAAAHT8/W4=")</f>
        <v>#VALUE!</v>
      </c>
      <c r="DH14" s="123" t="e">
        <f>AND(Versiones!P9,"AAAAAHT8/W8=")</f>
        <v>#VALUE!</v>
      </c>
      <c r="DI14" s="123" t="e">
        <f>AND(Versiones!Q9,"AAAAAHT8/XA=")</f>
        <v>#VALUE!</v>
      </c>
      <c r="DJ14" s="123" t="e">
        <f>AND(Versiones!R9,"AAAAAHT8/XE=")</f>
        <v>#VALUE!</v>
      </c>
      <c r="DK14" s="123" t="e">
        <f>AND(Versiones!S9,"AAAAAHT8/XI=")</f>
        <v>#VALUE!</v>
      </c>
      <c r="DL14" s="123" t="e">
        <f>AND(Versiones!T9,"AAAAAHT8/XM=")</f>
        <v>#VALUE!</v>
      </c>
      <c r="DM14" s="123" t="e">
        <f>AND(Versiones!U9,"AAAAAHT8/XQ=")</f>
        <v>#VALUE!</v>
      </c>
      <c r="DN14" s="123" t="e">
        <f>AND(Versiones!V9,"AAAAAHT8/XU=")</f>
        <v>#VALUE!</v>
      </c>
      <c r="DO14" s="123" t="e">
        <f>AND(Versiones!W9,"AAAAAHT8/XY=")</f>
        <v>#VALUE!</v>
      </c>
      <c r="DP14" s="123" t="e">
        <f>AND(Versiones!X9,"AAAAAHT8/Xc=")</f>
        <v>#VALUE!</v>
      </c>
      <c r="DQ14" s="123" t="e">
        <f>AND(Versiones!Y9,"AAAAAHT8/Xg=")</f>
        <v>#VALUE!</v>
      </c>
      <c r="DR14" s="123" t="e">
        <f>AND(Versiones!Z9,"AAAAAHT8/Xk=")</f>
        <v>#VALUE!</v>
      </c>
      <c r="DS14" s="123" t="e">
        <f>AND(Versiones!AA9,"AAAAAHT8/Xo=")</f>
        <v>#VALUE!</v>
      </c>
      <c r="DT14" s="123" t="e">
        <f>AND(Versiones!AB9,"AAAAAHT8/Xs=")</f>
        <v>#VALUE!</v>
      </c>
      <c r="DU14" s="123" t="e">
        <f>AND(Versiones!AC9,"AAAAAHT8/Xw=")</f>
        <v>#VALUE!</v>
      </c>
      <c r="DV14" s="123" t="e">
        <f>AND(Versiones!AD9,"AAAAAHT8/X0=")</f>
        <v>#VALUE!</v>
      </c>
      <c r="DW14" s="123" t="e">
        <f>AND(Versiones!AE9,"AAAAAHT8/X4=")</f>
        <v>#VALUE!</v>
      </c>
      <c r="DX14" s="123" t="e">
        <f>AND(Versiones!AF9,"AAAAAHT8/X8=")</f>
        <v>#VALUE!</v>
      </c>
      <c r="DY14" s="123" t="e">
        <f>AND(Versiones!AG9,"AAAAAHT8/YA=")</f>
        <v>#VALUE!</v>
      </c>
      <c r="DZ14" s="123" t="e">
        <f>AND(Versiones!AH9,"AAAAAHT8/YE=")</f>
        <v>#VALUE!</v>
      </c>
      <c r="EA14" s="123" t="e">
        <f>AND(Versiones!AI9,"AAAAAHT8/YI=")</f>
        <v>#VALUE!</v>
      </c>
      <c r="EB14" s="123" t="e">
        <f>AND(Versiones!AJ9,"AAAAAHT8/YM=")</f>
        <v>#VALUE!</v>
      </c>
      <c r="EC14" s="123" t="e">
        <f>AND(Versiones!AK9,"AAAAAHT8/YQ=")</f>
        <v>#VALUE!</v>
      </c>
      <c r="ED14" s="123" t="e">
        <f>AND(Versiones!AL9,"AAAAAHT8/YU=")</f>
        <v>#VALUE!</v>
      </c>
      <c r="EE14" s="123" t="e">
        <f>AND(Versiones!AM9,"AAAAAHT8/YY=")</f>
        <v>#VALUE!</v>
      </c>
      <c r="EF14" s="123" t="e">
        <f>AND(Versiones!AN9,"AAAAAHT8/Yc=")</f>
        <v>#VALUE!</v>
      </c>
      <c r="EG14" s="123" t="e">
        <f>AND(Versiones!AO9,"AAAAAHT8/Yg=")</f>
        <v>#VALUE!</v>
      </c>
      <c r="EH14" s="123" t="e">
        <f>AND(Versiones!AP9,"AAAAAHT8/Yk=")</f>
        <v>#VALUE!</v>
      </c>
      <c r="EI14" s="123" t="e">
        <f>AND(Versiones!AQ9,"AAAAAHT8/Yo=")</f>
        <v>#VALUE!</v>
      </c>
      <c r="EJ14" s="123" t="e">
        <f>AND(Versiones!AR9,"AAAAAHT8/Ys=")</f>
        <v>#VALUE!</v>
      </c>
      <c r="EK14" s="123" t="e">
        <f>AND(Versiones!AS9,"AAAAAHT8/Yw=")</f>
        <v>#VALUE!</v>
      </c>
      <c r="EL14" s="123" t="e">
        <f>AND(Versiones!AT9,"AAAAAHT8/Y0=")</f>
        <v>#VALUE!</v>
      </c>
      <c r="EM14" s="123" t="e">
        <f>AND(Versiones!AU9,"AAAAAHT8/Y4=")</f>
        <v>#VALUE!</v>
      </c>
      <c r="EN14" s="123" t="e">
        <f>AND(Versiones!AV9,"AAAAAHT8/Y8=")</f>
        <v>#VALUE!</v>
      </c>
      <c r="EO14" s="123" t="e">
        <f>AND(Versiones!AW9,"AAAAAHT8/ZA=")</f>
        <v>#VALUE!</v>
      </c>
      <c r="EP14" s="123" t="e">
        <f>AND(Versiones!AX9,"AAAAAHT8/ZE=")</f>
        <v>#VALUE!</v>
      </c>
      <c r="EQ14" s="123" t="e">
        <f>AND(Versiones!AY9,"AAAAAHT8/ZI=")</f>
        <v>#VALUE!</v>
      </c>
      <c r="ER14" s="123" t="e">
        <f>AND(Versiones!AZ9,"AAAAAHT8/ZM=")</f>
        <v>#VALUE!</v>
      </c>
      <c r="ES14" s="123" t="e">
        <f>AND(Versiones!BA9,"AAAAAHT8/ZQ=")</f>
        <v>#VALUE!</v>
      </c>
      <c r="ET14" s="123" t="e">
        <f>AND(Versiones!BB9,"AAAAAHT8/ZU=")</f>
        <v>#VALUE!</v>
      </c>
      <c r="EU14" s="123" t="e">
        <f>AND(Versiones!BC9,"AAAAAHT8/ZY=")</f>
        <v>#VALUE!</v>
      </c>
      <c r="EV14" s="123" t="e">
        <f>AND(Versiones!BD9,"AAAAAHT8/Zc=")</f>
        <v>#VALUE!</v>
      </c>
      <c r="EW14" s="123" t="e">
        <f>AND(Versiones!BE9,"AAAAAHT8/Zg=")</f>
        <v>#VALUE!</v>
      </c>
      <c r="EX14" s="123" t="e">
        <f>AND(Versiones!BF9,"AAAAAHT8/Zk=")</f>
        <v>#VALUE!</v>
      </c>
      <c r="EY14" s="123" t="e">
        <f>AND(Versiones!BG9,"AAAAAHT8/Zo=")</f>
        <v>#VALUE!</v>
      </c>
      <c r="EZ14" s="123" t="e">
        <f>AND(Versiones!BH9,"AAAAAHT8/Zs=")</f>
        <v>#VALUE!</v>
      </c>
      <c r="FA14" s="123" t="e">
        <f>AND(Versiones!BI9,"AAAAAHT8/Zw=")</f>
        <v>#VALUE!</v>
      </c>
      <c r="FB14" s="123" t="e">
        <f>AND(Versiones!BJ9,"AAAAAHT8/Z0=")</f>
        <v>#VALUE!</v>
      </c>
      <c r="FC14" s="123" t="e">
        <f>AND(Versiones!BK9,"AAAAAHT8/Z4=")</f>
        <v>#VALUE!</v>
      </c>
      <c r="FD14" s="123" t="e">
        <f>AND(Versiones!BL9,"AAAAAHT8/Z8=")</f>
        <v>#VALUE!</v>
      </c>
      <c r="FE14" s="123" t="e">
        <f>AND(Versiones!BM9,"AAAAAHT8/aA=")</f>
        <v>#VALUE!</v>
      </c>
      <c r="FF14" s="123" t="e">
        <f>AND(Versiones!BN9,"AAAAAHT8/aE=")</f>
        <v>#VALUE!</v>
      </c>
      <c r="FG14" s="123" t="e">
        <f>AND(Versiones!BO9,"AAAAAHT8/aI=")</f>
        <v>#VALUE!</v>
      </c>
      <c r="FH14" s="123" t="e">
        <f>AND(Versiones!BP9,"AAAAAHT8/aM=")</f>
        <v>#VALUE!</v>
      </c>
      <c r="FI14" s="123" t="e">
        <f>AND(Versiones!BQ9,"AAAAAHT8/aQ=")</f>
        <v>#VALUE!</v>
      </c>
      <c r="FJ14" s="123" t="e">
        <f>AND(Versiones!BR9,"AAAAAHT8/aU=")</f>
        <v>#VALUE!</v>
      </c>
      <c r="FK14" s="123" t="e">
        <f>AND(Versiones!BS9,"AAAAAHT8/aY=")</f>
        <v>#VALUE!</v>
      </c>
      <c r="FL14" s="123" t="e">
        <f>AND(Versiones!BT9,"AAAAAHT8/ac=")</f>
        <v>#VALUE!</v>
      </c>
      <c r="FM14" s="123" t="e">
        <f>AND(Versiones!BU9,"AAAAAHT8/ag=")</f>
        <v>#VALUE!</v>
      </c>
      <c r="FN14" s="123" t="e">
        <f>AND(Versiones!BV9,"AAAAAHT8/ak=")</f>
        <v>#VALUE!</v>
      </c>
      <c r="FO14" s="123" t="e">
        <f>AND(Versiones!BW9,"AAAAAHT8/ao=")</f>
        <v>#VALUE!</v>
      </c>
      <c r="FP14" s="123" t="e">
        <f>AND(Versiones!BX9,"AAAAAHT8/as=")</f>
        <v>#VALUE!</v>
      </c>
      <c r="FQ14" s="123" t="e">
        <f>AND(Versiones!BY9,"AAAAAHT8/aw=")</f>
        <v>#VALUE!</v>
      </c>
      <c r="FR14" s="123" t="e">
        <f>AND(Versiones!BZ9,"AAAAAHT8/a0=")</f>
        <v>#VALUE!</v>
      </c>
      <c r="FS14" s="123" t="e">
        <f>AND(Versiones!CA9,"AAAAAHT8/a4=")</f>
        <v>#VALUE!</v>
      </c>
      <c r="FT14" s="123" t="e">
        <f>AND(Versiones!CB9,"AAAAAHT8/a8=")</f>
        <v>#VALUE!</v>
      </c>
      <c r="FU14" s="123" t="e">
        <f>AND(Versiones!CC9,"AAAAAHT8/bA=")</f>
        <v>#VALUE!</v>
      </c>
      <c r="FV14" s="123" t="e">
        <f>AND(Versiones!CD9,"AAAAAHT8/bE=")</f>
        <v>#VALUE!</v>
      </c>
      <c r="FW14" s="123" t="e">
        <f>AND(Versiones!CE9,"AAAAAHT8/bI=")</f>
        <v>#VALUE!</v>
      </c>
      <c r="FX14" s="123" t="e">
        <f>AND(Versiones!CF9,"AAAAAHT8/bM=")</f>
        <v>#VALUE!</v>
      </c>
      <c r="FY14" s="123" t="e">
        <f>AND(Versiones!CG9,"AAAAAHT8/bQ=")</f>
        <v>#VALUE!</v>
      </c>
      <c r="FZ14" s="123" t="e">
        <f>AND(Versiones!CH9,"AAAAAHT8/bU=")</f>
        <v>#VALUE!</v>
      </c>
      <c r="GA14" s="123" t="e">
        <f>AND(Versiones!CI9,"AAAAAHT8/bY=")</f>
        <v>#VALUE!</v>
      </c>
      <c r="GB14" s="123" t="e">
        <f>AND(Versiones!CJ9,"AAAAAHT8/bc=")</f>
        <v>#VALUE!</v>
      </c>
      <c r="GC14" s="123" t="e">
        <f>AND(Versiones!CK9,"AAAAAHT8/bg=")</f>
        <v>#VALUE!</v>
      </c>
      <c r="GD14" s="123" t="e">
        <f>AND(Versiones!CL9,"AAAAAHT8/bk=")</f>
        <v>#VALUE!</v>
      </c>
      <c r="GE14" s="123" t="e">
        <f>AND(Versiones!CM9,"AAAAAHT8/bo=")</f>
        <v>#VALUE!</v>
      </c>
      <c r="GF14" s="123" t="e">
        <f>AND(Versiones!CN9,"AAAAAHT8/bs=")</f>
        <v>#VALUE!</v>
      </c>
      <c r="GG14" s="123" t="e">
        <f>AND(Versiones!CO9,"AAAAAHT8/bw=")</f>
        <v>#VALUE!</v>
      </c>
      <c r="GH14" s="123" t="e">
        <f>AND(Versiones!CP9,"AAAAAHT8/b0=")</f>
        <v>#VALUE!</v>
      </c>
      <c r="GI14" s="123" t="e">
        <f>AND(Versiones!CQ9,"AAAAAHT8/b4=")</f>
        <v>#VALUE!</v>
      </c>
      <c r="GJ14" s="123" t="e">
        <f>AND(Versiones!CR9,"AAAAAHT8/b8=")</f>
        <v>#VALUE!</v>
      </c>
      <c r="GK14" s="123" t="e">
        <f>AND(Versiones!CS9,"AAAAAHT8/cA=")</f>
        <v>#VALUE!</v>
      </c>
      <c r="GL14" s="123" t="e">
        <f>AND(Versiones!CT9,"AAAAAHT8/cE=")</f>
        <v>#VALUE!</v>
      </c>
      <c r="GM14" s="123" t="e">
        <f>AND(Versiones!CU9,"AAAAAHT8/cI=")</f>
        <v>#VALUE!</v>
      </c>
      <c r="GN14" s="123" t="e">
        <f>AND(Versiones!CV9,"AAAAAHT8/cM=")</f>
        <v>#VALUE!</v>
      </c>
      <c r="GO14" s="123" t="e">
        <f>AND(Versiones!CW9,"AAAAAHT8/cQ=")</f>
        <v>#VALUE!</v>
      </c>
      <c r="GP14" s="123" t="e">
        <f>AND(Versiones!CX9,"AAAAAHT8/cU=")</f>
        <v>#VALUE!</v>
      </c>
      <c r="GQ14" s="123" t="e">
        <f>AND(Versiones!CY9,"AAAAAHT8/cY=")</f>
        <v>#VALUE!</v>
      </c>
      <c r="GR14" s="123" t="e">
        <f>AND(Versiones!CZ9,"AAAAAHT8/cc=")</f>
        <v>#VALUE!</v>
      </c>
      <c r="GS14" s="123" t="e">
        <f>AND(Versiones!DA9,"AAAAAHT8/cg=")</f>
        <v>#VALUE!</v>
      </c>
      <c r="GT14" s="123" t="e">
        <f>AND(Versiones!DB9,"AAAAAHT8/ck=")</f>
        <v>#VALUE!</v>
      </c>
      <c r="GU14" s="123" t="e">
        <f>AND(Versiones!DC9,"AAAAAHT8/co=")</f>
        <v>#VALUE!</v>
      </c>
      <c r="GV14" s="123" t="e">
        <f>AND(Versiones!DD9,"AAAAAHT8/cs=")</f>
        <v>#VALUE!</v>
      </c>
      <c r="GW14" s="123" t="e">
        <f>AND(Versiones!DE9,"AAAAAHT8/cw=")</f>
        <v>#VALUE!</v>
      </c>
      <c r="GX14" s="123" t="e">
        <f>AND(Versiones!DF9,"AAAAAHT8/c0=")</f>
        <v>#VALUE!</v>
      </c>
      <c r="GY14" s="123" t="e">
        <f>AND(Versiones!DG9,"AAAAAHT8/c4=")</f>
        <v>#VALUE!</v>
      </c>
      <c r="GZ14" s="123" t="e">
        <f>AND(Versiones!DH9,"AAAAAHT8/c8=")</f>
        <v>#VALUE!</v>
      </c>
      <c r="HA14" s="123" t="e">
        <f>AND(Versiones!DI9,"AAAAAHT8/dA=")</f>
        <v>#VALUE!</v>
      </c>
      <c r="HB14" s="123" t="e">
        <f>AND(Versiones!DJ9,"AAAAAHT8/dE=")</f>
        <v>#VALUE!</v>
      </c>
      <c r="HC14" s="123" t="e">
        <f>AND(Versiones!DK9,"AAAAAHT8/dI=")</f>
        <v>#VALUE!</v>
      </c>
      <c r="HD14" s="123" t="e">
        <f>AND(Versiones!DL9,"AAAAAHT8/dM=")</f>
        <v>#VALUE!</v>
      </c>
      <c r="HE14" s="123" t="e">
        <f>AND(Versiones!DM9,"AAAAAHT8/dQ=")</f>
        <v>#VALUE!</v>
      </c>
      <c r="HF14" s="123" t="e">
        <f>AND(Versiones!DN9,"AAAAAHT8/dU=")</f>
        <v>#VALUE!</v>
      </c>
      <c r="HG14" s="123" t="e">
        <f>AND(Versiones!DO9,"AAAAAHT8/dY=")</f>
        <v>#VALUE!</v>
      </c>
      <c r="HH14" s="123" t="e">
        <f>AND(Versiones!DP9,"AAAAAHT8/dc=")</f>
        <v>#VALUE!</v>
      </c>
      <c r="HI14" s="123" t="e">
        <f>AND(Versiones!DQ9,"AAAAAHT8/dg=")</f>
        <v>#VALUE!</v>
      </c>
      <c r="HJ14" s="123" t="e">
        <f>AND(Versiones!DR9,"AAAAAHT8/dk=")</f>
        <v>#VALUE!</v>
      </c>
      <c r="HK14" s="123" t="e">
        <f>AND(Versiones!DS9,"AAAAAHT8/do=")</f>
        <v>#VALUE!</v>
      </c>
      <c r="HL14" s="123" t="e">
        <f>AND(Versiones!DT9,"AAAAAHT8/ds=")</f>
        <v>#VALUE!</v>
      </c>
      <c r="HM14" s="123" t="e">
        <f>AND(Versiones!DU9,"AAAAAHT8/dw=")</f>
        <v>#VALUE!</v>
      </c>
      <c r="HN14" s="123" t="e">
        <f>AND(Versiones!DV9,"AAAAAHT8/d0=")</f>
        <v>#VALUE!</v>
      </c>
      <c r="HO14" s="123" t="e">
        <f>AND(Versiones!DW9,"AAAAAHT8/d4=")</f>
        <v>#VALUE!</v>
      </c>
      <c r="HP14" s="123" t="e">
        <f>AND(Versiones!DX9,"AAAAAHT8/d8=")</f>
        <v>#VALUE!</v>
      </c>
      <c r="HQ14" s="123" t="e">
        <f>AND(Versiones!DY9,"AAAAAHT8/eA=")</f>
        <v>#VALUE!</v>
      </c>
      <c r="HR14" s="123" t="e">
        <f>AND(Versiones!DZ9,"AAAAAHT8/eE=")</f>
        <v>#VALUE!</v>
      </c>
      <c r="HS14" s="123" t="e">
        <f>AND(Versiones!EA9,"AAAAAHT8/eI=")</f>
        <v>#VALUE!</v>
      </c>
      <c r="HT14" s="123" t="e">
        <f>AND(Versiones!EB9,"AAAAAHT8/eM=")</f>
        <v>#VALUE!</v>
      </c>
      <c r="HU14" s="123" t="e">
        <f>AND(Versiones!EC9,"AAAAAHT8/eQ=")</f>
        <v>#VALUE!</v>
      </c>
      <c r="HV14" s="123" t="e">
        <f>AND(Versiones!ED9,"AAAAAHT8/eU=")</f>
        <v>#VALUE!</v>
      </c>
      <c r="HW14" s="123" t="e">
        <f>AND(Versiones!EE9,"AAAAAHT8/eY=")</f>
        <v>#VALUE!</v>
      </c>
      <c r="HX14" s="123" t="e">
        <f>AND(Versiones!EF9,"AAAAAHT8/ec=")</f>
        <v>#VALUE!</v>
      </c>
      <c r="HY14" s="123" t="e">
        <f>AND(Versiones!EG9,"AAAAAHT8/eg=")</f>
        <v>#VALUE!</v>
      </c>
      <c r="HZ14" s="123" t="e">
        <f>AND(Versiones!EH9,"AAAAAHT8/ek=")</f>
        <v>#VALUE!</v>
      </c>
      <c r="IA14" s="123" t="e">
        <f>AND(Versiones!EI9,"AAAAAHT8/eo=")</f>
        <v>#VALUE!</v>
      </c>
      <c r="IB14" s="123" t="e">
        <f>AND(Versiones!EJ9,"AAAAAHT8/es=")</f>
        <v>#VALUE!</v>
      </c>
      <c r="IC14" s="123" t="e">
        <f>AND(Versiones!EK9,"AAAAAHT8/ew=")</f>
        <v>#VALUE!</v>
      </c>
      <c r="ID14" s="123" t="e">
        <f>AND(Versiones!EL9,"AAAAAHT8/e0=")</f>
        <v>#VALUE!</v>
      </c>
      <c r="IE14" s="123" t="e">
        <f>AND(Versiones!EM9,"AAAAAHT8/e4=")</f>
        <v>#VALUE!</v>
      </c>
      <c r="IF14" s="123" t="e">
        <f>AND(Versiones!EN9,"AAAAAHT8/e8=")</f>
        <v>#VALUE!</v>
      </c>
      <c r="IG14" s="123" t="e">
        <f>AND(Versiones!EO9,"AAAAAHT8/fA=")</f>
        <v>#VALUE!</v>
      </c>
      <c r="IH14" s="123" t="e">
        <f>AND(Versiones!EP9,"AAAAAHT8/fE=")</f>
        <v>#VALUE!</v>
      </c>
      <c r="II14" s="123" t="e">
        <f>AND(Versiones!EQ9,"AAAAAHT8/fI=")</f>
        <v>#VALUE!</v>
      </c>
      <c r="IJ14" s="123" t="e">
        <f>AND(Versiones!ER9,"AAAAAHT8/fM=")</f>
        <v>#VALUE!</v>
      </c>
      <c r="IK14" s="123" t="e">
        <f>AND(Versiones!ES9,"AAAAAHT8/fQ=")</f>
        <v>#VALUE!</v>
      </c>
      <c r="IL14" s="123" t="e">
        <f>AND(Versiones!ET9,"AAAAAHT8/fU=")</f>
        <v>#VALUE!</v>
      </c>
      <c r="IM14" s="123" t="e">
        <f>AND(Versiones!EU9,"AAAAAHT8/fY=")</f>
        <v>#VALUE!</v>
      </c>
      <c r="IN14" s="123" t="e">
        <f>AND(Versiones!EV9,"AAAAAHT8/fc=")</f>
        <v>#VALUE!</v>
      </c>
      <c r="IO14" s="123" t="e">
        <f>AND(Versiones!EW9,"AAAAAHT8/fg=")</f>
        <v>#VALUE!</v>
      </c>
      <c r="IP14" s="123" t="e">
        <f>AND(Versiones!EX9,"AAAAAHT8/fk=")</f>
        <v>#VALUE!</v>
      </c>
      <c r="IQ14" s="123" t="e">
        <f>AND(Versiones!EY9,"AAAAAHT8/fo=")</f>
        <v>#VALUE!</v>
      </c>
      <c r="IR14" s="123" t="e">
        <f>AND(Versiones!EZ9,"AAAAAHT8/fs=")</f>
        <v>#VALUE!</v>
      </c>
      <c r="IS14" s="123" t="e">
        <f>AND(Versiones!FA9,"AAAAAHT8/fw=")</f>
        <v>#VALUE!</v>
      </c>
      <c r="IT14" s="123" t="e">
        <f>AND(Versiones!FB9,"AAAAAHT8/f0=")</f>
        <v>#VALUE!</v>
      </c>
      <c r="IU14" s="123" t="e">
        <f>AND(Versiones!FC9,"AAAAAHT8/f4=")</f>
        <v>#VALUE!</v>
      </c>
      <c r="IV14" s="123" t="e">
        <f>AND(Versiones!FD9,"AAAAAHT8/f8=")</f>
        <v>#VALUE!</v>
      </c>
    </row>
    <row r="15" spans="1:256" ht="14.4">
      <c r="A15" s="123" t="e">
        <f>AND(Versiones!FE9,"AAAAAH9z/gA=")</f>
        <v>#VALUE!</v>
      </c>
      <c r="B15" s="123" t="e">
        <f>AND(Versiones!FF9,"AAAAAH9z/gE=")</f>
        <v>#VALUE!</v>
      </c>
      <c r="C15" s="123" t="e">
        <f>AND(Versiones!FG9,"AAAAAH9z/gI=")</f>
        <v>#VALUE!</v>
      </c>
      <c r="D15" s="123" t="e">
        <f>AND(Versiones!FH9,"AAAAAH9z/gM=")</f>
        <v>#VALUE!</v>
      </c>
      <c r="E15" s="123" t="e">
        <f>AND(Versiones!FI9,"AAAAAH9z/gQ=")</f>
        <v>#VALUE!</v>
      </c>
      <c r="F15" s="123" t="e">
        <f>AND(Versiones!FJ9,"AAAAAH9z/gU=")</f>
        <v>#VALUE!</v>
      </c>
      <c r="G15" s="123" t="e">
        <f>AND(Versiones!FK9,"AAAAAH9z/gY=")</f>
        <v>#VALUE!</v>
      </c>
      <c r="H15" s="123" t="e">
        <f>AND(Versiones!FL9,"AAAAAH9z/gc=")</f>
        <v>#VALUE!</v>
      </c>
      <c r="I15" s="123" t="e">
        <f>AND(Versiones!FM9,"AAAAAH9z/gg=")</f>
        <v>#VALUE!</v>
      </c>
      <c r="J15" s="123" t="e">
        <f>AND(Versiones!FN9,"AAAAAH9z/gk=")</f>
        <v>#VALUE!</v>
      </c>
      <c r="K15" s="123" t="e">
        <f>AND(Versiones!FO9,"AAAAAH9z/go=")</f>
        <v>#VALUE!</v>
      </c>
      <c r="L15" s="123" t="e">
        <f>AND(Versiones!FP9,"AAAAAH9z/gs=")</f>
        <v>#VALUE!</v>
      </c>
      <c r="M15" s="123" t="e">
        <f>AND(Versiones!FQ9,"AAAAAH9z/gw=")</f>
        <v>#VALUE!</v>
      </c>
      <c r="N15" s="123" t="e">
        <f>AND(Versiones!FR9,"AAAAAH9z/g0=")</f>
        <v>#VALUE!</v>
      </c>
      <c r="O15" s="123" t="e">
        <f>AND(Versiones!FS9,"AAAAAH9z/g4=")</f>
        <v>#VALUE!</v>
      </c>
      <c r="P15" s="123" t="e">
        <f>AND(Versiones!FT9,"AAAAAH9z/g8=")</f>
        <v>#VALUE!</v>
      </c>
      <c r="Q15" s="123" t="e">
        <f>AND(Versiones!FU9,"AAAAAH9z/hA=")</f>
        <v>#VALUE!</v>
      </c>
      <c r="R15" s="123" t="e">
        <f>AND(Versiones!FV9,"AAAAAH9z/hE=")</f>
        <v>#VALUE!</v>
      </c>
      <c r="S15" s="123" t="e">
        <f>AND(Versiones!FW9,"AAAAAH9z/hI=")</f>
        <v>#VALUE!</v>
      </c>
      <c r="T15" s="123" t="e">
        <f>AND(Versiones!FX9,"AAAAAH9z/hM=")</f>
        <v>#VALUE!</v>
      </c>
      <c r="U15" s="123" t="e">
        <f>AND(Versiones!FY9,"AAAAAH9z/hQ=")</f>
        <v>#VALUE!</v>
      </c>
      <c r="V15" s="123" t="e">
        <f>AND(Versiones!FZ9,"AAAAAH9z/hU=")</f>
        <v>#VALUE!</v>
      </c>
      <c r="W15" s="123" t="e">
        <f>AND(Versiones!GA9,"AAAAAH9z/hY=")</f>
        <v>#VALUE!</v>
      </c>
      <c r="X15" s="123" t="e">
        <f>AND(Versiones!GB9,"AAAAAH9z/hc=")</f>
        <v>#VALUE!</v>
      </c>
      <c r="Y15" s="123" t="e">
        <f>AND(Versiones!GC9,"AAAAAH9z/hg=")</f>
        <v>#VALUE!</v>
      </c>
      <c r="Z15" s="123" t="e">
        <f>AND(Versiones!GD9,"AAAAAH9z/hk=")</f>
        <v>#VALUE!</v>
      </c>
      <c r="AA15" s="123" t="e">
        <f>AND(Versiones!GE9,"AAAAAH9z/ho=")</f>
        <v>#VALUE!</v>
      </c>
      <c r="AB15" s="123" t="e">
        <f>AND(Versiones!GF9,"AAAAAH9z/hs=")</f>
        <v>#VALUE!</v>
      </c>
      <c r="AC15" s="123" t="e">
        <f>AND(Versiones!GG9,"AAAAAH9z/hw=")</f>
        <v>#VALUE!</v>
      </c>
      <c r="AD15" s="123" t="e">
        <f>AND(Versiones!GH9,"AAAAAH9z/h0=")</f>
        <v>#VALUE!</v>
      </c>
      <c r="AE15" s="123" t="e">
        <f>AND(Versiones!GI9,"AAAAAH9z/h4=")</f>
        <v>#VALUE!</v>
      </c>
      <c r="AF15" s="123" t="e">
        <f>AND(Versiones!GJ9,"AAAAAH9z/h8=")</f>
        <v>#VALUE!</v>
      </c>
      <c r="AG15" s="123" t="e">
        <f>AND(Versiones!GK9,"AAAAAH9z/iA=")</f>
        <v>#VALUE!</v>
      </c>
      <c r="AH15" s="123" t="e">
        <f>AND(Versiones!GL9,"AAAAAH9z/iE=")</f>
        <v>#VALUE!</v>
      </c>
      <c r="AI15" s="123" t="e">
        <f>AND(Versiones!GM9,"AAAAAH9z/iI=")</f>
        <v>#VALUE!</v>
      </c>
      <c r="AJ15" s="123" t="e">
        <f>AND(Versiones!GN9,"AAAAAH9z/iM=")</f>
        <v>#VALUE!</v>
      </c>
      <c r="AK15" s="123" t="e">
        <f>AND(Versiones!GO9,"AAAAAH9z/iQ=")</f>
        <v>#VALUE!</v>
      </c>
      <c r="AL15" s="123" t="e">
        <f>AND(Versiones!GP9,"AAAAAH9z/iU=")</f>
        <v>#VALUE!</v>
      </c>
      <c r="AM15" s="123" t="e">
        <f>AND(Versiones!GQ9,"AAAAAH9z/iY=")</f>
        <v>#VALUE!</v>
      </c>
      <c r="AN15" s="123" t="e">
        <f>AND(Versiones!GR9,"AAAAAH9z/ic=")</f>
        <v>#VALUE!</v>
      </c>
      <c r="AO15" s="123" t="e">
        <f>AND(Versiones!GS9,"AAAAAH9z/ig=")</f>
        <v>#VALUE!</v>
      </c>
      <c r="AP15" s="123" t="e">
        <f>AND(Versiones!GT9,"AAAAAH9z/ik=")</f>
        <v>#VALUE!</v>
      </c>
      <c r="AQ15" s="123" t="e">
        <f>AND(Versiones!GU9,"AAAAAH9z/io=")</f>
        <v>#VALUE!</v>
      </c>
      <c r="AR15" s="123" t="e">
        <f>AND(Versiones!GV9,"AAAAAH9z/is=")</f>
        <v>#VALUE!</v>
      </c>
      <c r="AS15" s="123" t="e">
        <f>AND(Versiones!GW9,"AAAAAH9z/iw=")</f>
        <v>#VALUE!</v>
      </c>
      <c r="AT15" s="123" t="e">
        <f>AND(Versiones!GX9,"AAAAAH9z/i0=")</f>
        <v>#VALUE!</v>
      </c>
      <c r="AU15" s="123" t="e">
        <f>AND(Versiones!GY9,"AAAAAH9z/i4=")</f>
        <v>#VALUE!</v>
      </c>
      <c r="AV15" s="123" t="e">
        <f>AND(Versiones!GZ9,"AAAAAH9z/i8=")</f>
        <v>#VALUE!</v>
      </c>
      <c r="AW15" s="123" t="e">
        <f>AND(Versiones!HA9,"AAAAAH9z/jA=")</f>
        <v>#VALUE!</v>
      </c>
      <c r="AX15" s="123" t="e">
        <f>AND(Versiones!HB9,"AAAAAH9z/jE=")</f>
        <v>#VALUE!</v>
      </c>
      <c r="AY15" s="123" t="e">
        <f>AND(Versiones!HC9,"AAAAAH9z/jI=")</f>
        <v>#VALUE!</v>
      </c>
      <c r="AZ15" s="123" t="e">
        <f>AND(Versiones!HD9,"AAAAAH9z/jM=")</f>
        <v>#VALUE!</v>
      </c>
      <c r="BA15" s="123" t="e">
        <f>AND(Versiones!HE9,"AAAAAH9z/jQ=")</f>
        <v>#VALUE!</v>
      </c>
      <c r="BB15" s="123" t="e">
        <f>AND(Versiones!HF9,"AAAAAH9z/jU=")</f>
        <v>#VALUE!</v>
      </c>
      <c r="BC15" s="123" t="e">
        <f>AND(Versiones!HG9,"AAAAAH9z/jY=")</f>
        <v>#VALUE!</v>
      </c>
      <c r="BD15" s="123" t="e">
        <f>AND(Versiones!HH9,"AAAAAH9z/jc=")</f>
        <v>#VALUE!</v>
      </c>
      <c r="BE15" s="123" t="e">
        <f>AND(Versiones!HI9,"AAAAAH9z/jg=")</f>
        <v>#VALUE!</v>
      </c>
      <c r="BF15" s="123">
        <f>IF(Versiones!10:10,"AAAAAH9z/jk=",0)</f>
        <v>0</v>
      </c>
      <c r="BG15" s="123" t="e">
        <f>AND(Versiones!A10,"AAAAAH9z/jo=")</f>
        <v>#VALUE!</v>
      </c>
      <c r="BH15" s="123" t="e">
        <f>AND(Versiones!B10,"AAAAAH9z/js=")</f>
        <v>#VALUE!</v>
      </c>
      <c r="BI15" s="123" t="e">
        <f>AND(Versiones!C10,"AAAAAH9z/jw=")</f>
        <v>#VALUE!</v>
      </c>
      <c r="BJ15" s="123" t="e">
        <f>AND(Versiones!D10,"AAAAAH9z/j0=")</f>
        <v>#VALUE!</v>
      </c>
      <c r="BK15" s="123" t="e">
        <f>AND(Versiones!E10,"AAAAAH9z/j4=")</f>
        <v>#VALUE!</v>
      </c>
      <c r="BL15" s="123" t="e">
        <f>AND(Versiones!F10,"AAAAAH9z/j8=")</f>
        <v>#VALUE!</v>
      </c>
      <c r="BM15" s="123" t="e">
        <f>AND(Versiones!#REF!,"AAAAAH9z/kA=")</f>
        <v>#REF!</v>
      </c>
      <c r="BN15" s="123" t="e">
        <f>AND(Versiones!G10,"AAAAAH9z/kE=")</f>
        <v>#VALUE!</v>
      </c>
      <c r="BO15" s="123" t="e">
        <f>AND(Versiones!H10,"AAAAAH9z/kI=")</f>
        <v>#VALUE!</v>
      </c>
      <c r="BP15" s="123" t="e">
        <f>AND(Versiones!I10,"AAAAAH9z/kM=")</f>
        <v>#VALUE!</v>
      </c>
      <c r="BQ15" s="123" t="e">
        <f>AND(Versiones!J10,"AAAAAH9z/kQ=")</f>
        <v>#VALUE!</v>
      </c>
      <c r="BR15" s="123" t="e">
        <f>AND(Versiones!K10,"AAAAAH9z/kU=")</f>
        <v>#VALUE!</v>
      </c>
      <c r="BS15" s="123" t="e">
        <f>AND(Versiones!L10,"AAAAAH9z/kY=")</f>
        <v>#VALUE!</v>
      </c>
      <c r="BT15" s="123" t="e">
        <f>AND(Versiones!M10,"AAAAAH9z/kc=")</f>
        <v>#VALUE!</v>
      </c>
      <c r="BU15" s="123" t="e">
        <f>AND(Versiones!N10,"AAAAAH9z/kg=")</f>
        <v>#VALUE!</v>
      </c>
      <c r="BV15" s="123" t="e">
        <f>AND(Versiones!O10,"AAAAAH9z/kk=")</f>
        <v>#VALUE!</v>
      </c>
      <c r="BW15" s="123" t="e">
        <f>AND(Versiones!P10,"AAAAAH9z/ko=")</f>
        <v>#VALUE!</v>
      </c>
      <c r="BX15" s="123" t="e">
        <f>AND(Versiones!Q10,"AAAAAH9z/ks=")</f>
        <v>#VALUE!</v>
      </c>
      <c r="BY15" s="123" t="e">
        <f>AND(Versiones!R10,"AAAAAH9z/kw=")</f>
        <v>#VALUE!</v>
      </c>
      <c r="BZ15" s="123" t="e">
        <f>AND(Versiones!S10,"AAAAAH9z/k0=")</f>
        <v>#VALUE!</v>
      </c>
      <c r="CA15" s="123" t="e">
        <f>AND(Versiones!T10,"AAAAAH9z/k4=")</f>
        <v>#VALUE!</v>
      </c>
      <c r="CB15" s="123" t="e">
        <f>AND(Versiones!U10,"AAAAAH9z/k8=")</f>
        <v>#VALUE!</v>
      </c>
      <c r="CC15" s="123" t="e">
        <f>AND(Versiones!V10,"AAAAAH9z/lA=")</f>
        <v>#VALUE!</v>
      </c>
      <c r="CD15" s="123" t="e">
        <f>AND(Versiones!W10,"AAAAAH9z/lE=")</f>
        <v>#VALUE!</v>
      </c>
      <c r="CE15" s="123" t="e">
        <f>AND(Versiones!X10,"AAAAAH9z/lI=")</f>
        <v>#VALUE!</v>
      </c>
      <c r="CF15" s="123" t="e">
        <f>AND(Versiones!Y10,"AAAAAH9z/lM=")</f>
        <v>#VALUE!</v>
      </c>
      <c r="CG15" s="123" t="e">
        <f>AND(Versiones!Z10,"AAAAAH9z/lQ=")</f>
        <v>#VALUE!</v>
      </c>
      <c r="CH15" s="123" t="e">
        <f>AND(Versiones!AA10,"AAAAAH9z/lU=")</f>
        <v>#VALUE!</v>
      </c>
      <c r="CI15" s="123" t="e">
        <f>AND(Versiones!AB10,"AAAAAH9z/lY=")</f>
        <v>#VALUE!</v>
      </c>
      <c r="CJ15" s="123" t="e">
        <f>AND(Versiones!AC10,"AAAAAH9z/lc=")</f>
        <v>#VALUE!</v>
      </c>
      <c r="CK15" s="123" t="e">
        <f>AND(Versiones!AD10,"AAAAAH9z/lg=")</f>
        <v>#VALUE!</v>
      </c>
      <c r="CL15" s="123" t="e">
        <f>AND(Versiones!AE10,"AAAAAH9z/lk=")</f>
        <v>#VALUE!</v>
      </c>
      <c r="CM15" s="123" t="e">
        <f>AND(Versiones!AF10,"AAAAAH9z/lo=")</f>
        <v>#VALUE!</v>
      </c>
      <c r="CN15" s="123" t="e">
        <f>AND(Versiones!AG10,"AAAAAH9z/ls=")</f>
        <v>#VALUE!</v>
      </c>
      <c r="CO15" s="123" t="e">
        <f>AND(Versiones!AH10,"AAAAAH9z/lw=")</f>
        <v>#VALUE!</v>
      </c>
      <c r="CP15" s="123" t="e">
        <f>AND(Versiones!AI10,"AAAAAH9z/l0=")</f>
        <v>#VALUE!</v>
      </c>
      <c r="CQ15" s="123" t="e">
        <f>AND(Versiones!AJ10,"AAAAAH9z/l4=")</f>
        <v>#VALUE!</v>
      </c>
      <c r="CR15" s="123" t="e">
        <f>AND(Versiones!AK10,"AAAAAH9z/l8=")</f>
        <v>#VALUE!</v>
      </c>
      <c r="CS15" s="123" t="e">
        <f>AND(Versiones!AL10,"AAAAAH9z/mA=")</f>
        <v>#VALUE!</v>
      </c>
      <c r="CT15" s="123" t="e">
        <f>AND(Versiones!AM10,"AAAAAH9z/mE=")</f>
        <v>#VALUE!</v>
      </c>
      <c r="CU15" s="123" t="e">
        <f>AND(Versiones!AN10,"AAAAAH9z/mI=")</f>
        <v>#VALUE!</v>
      </c>
      <c r="CV15" s="123" t="e">
        <f>AND(Versiones!AO10,"AAAAAH9z/mM=")</f>
        <v>#VALUE!</v>
      </c>
      <c r="CW15" s="123" t="e">
        <f>AND(Versiones!AP10,"AAAAAH9z/mQ=")</f>
        <v>#VALUE!</v>
      </c>
      <c r="CX15" s="123" t="e">
        <f>AND(Versiones!AQ10,"AAAAAH9z/mU=")</f>
        <v>#VALUE!</v>
      </c>
      <c r="CY15" s="123" t="e">
        <f>AND(Versiones!AR10,"AAAAAH9z/mY=")</f>
        <v>#VALUE!</v>
      </c>
      <c r="CZ15" s="123" t="e">
        <f>AND(Versiones!AS10,"AAAAAH9z/mc=")</f>
        <v>#VALUE!</v>
      </c>
      <c r="DA15" s="123" t="e">
        <f>AND(Versiones!AT10,"AAAAAH9z/mg=")</f>
        <v>#VALUE!</v>
      </c>
      <c r="DB15" s="123" t="e">
        <f>AND(Versiones!AU10,"AAAAAH9z/mk=")</f>
        <v>#VALUE!</v>
      </c>
      <c r="DC15" s="123" t="e">
        <f>AND(Versiones!AV10,"AAAAAH9z/mo=")</f>
        <v>#VALUE!</v>
      </c>
      <c r="DD15" s="123" t="e">
        <f>AND(Versiones!AW10,"AAAAAH9z/ms=")</f>
        <v>#VALUE!</v>
      </c>
      <c r="DE15" s="123" t="e">
        <f>AND(Versiones!AX10,"AAAAAH9z/mw=")</f>
        <v>#VALUE!</v>
      </c>
      <c r="DF15" s="123" t="e">
        <f>AND(Versiones!AY10,"AAAAAH9z/m0=")</f>
        <v>#VALUE!</v>
      </c>
      <c r="DG15" s="123" t="e">
        <f>AND(Versiones!AZ10,"AAAAAH9z/m4=")</f>
        <v>#VALUE!</v>
      </c>
      <c r="DH15" s="123" t="e">
        <f>AND(Versiones!BA10,"AAAAAH9z/m8=")</f>
        <v>#VALUE!</v>
      </c>
      <c r="DI15" s="123" t="e">
        <f>AND(Versiones!BB10,"AAAAAH9z/nA=")</f>
        <v>#VALUE!</v>
      </c>
      <c r="DJ15" s="123" t="e">
        <f>AND(Versiones!BC10,"AAAAAH9z/nE=")</f>
        <v>#VALUE!</v>
      </c>
      <c r="DK15" s="123" t="e">
        <f>AND(Versiones!BD10,"AAAAAH9z/nI=")</f>
        <v>#VALUE!</v>
      </c>
      <c r="DL15" s="123" t="e">
        <f>AND(Versiones!BE10,"AAAAAH9z/nM=")</f>
        <v>#VALUE!</v>
      </c>
      <c r="DM15" s="123" t="e">
        <f>AND(Versiones!BF10,"AAAAAH9z/nQ=")</f>
        <v>#VALUE!</v>
      </c>
      <c r="DN15" s="123" t="e">
        <f>AND(Versiones!BG10,"AAAAAH9z/nU=")</f>
        <v>#VALUE!</v>
      </c>
      <c r="DO15" s="123" t="e">
        <f>AND(Versiones!BH10,"AAAAAH9z/nY=")</f>
        <v>#VALUE!</v>
      </c>
      <c r="DP15" s="123" t="e">
        <f>AND(Versiones!BI10,"AAAAAH9z/nc=")</f>
        <v>#VALUE!</v>
      </c>
      <c r="DQ15" s="123" t="e">
        <f>AND(Versiones!BJ10,"AAAAAH9z/ng=")</f>
        <v>#VALUE!</v>
      </c>
      <c r="DR15" s="123" t="e">
        <f>AND(Versiones!BK10,"AAAAAH9z/nk=")</f>
        <v>#VALUE!</v>
      </c>
      <c r="DS15" s="123" t="e">
        <f>AND(Versiones!BL10,"AAAAAH9z/no=")</f>
        <v>#VALUE!</v>
      </c>
      <c r="DT15" s="123" t="e">
        <f>AND(Versiones!BM10,"AAAAAH9z/ns=")</f>
        <v>#VALUE!</v>
      </c>
      <c r="DU15" s="123" t="e">
        <f>AND(Versiones!BN10,"AAAAAH9z/nw=")</f>
        <v>#VALUE!</v>
      </c>
      <c r="DV15" s="123" t="e">
        <f>AND(Versiones!BO10,"AAAAAH9z/n0=")</f>
        <v>#VALUE!</v>
      </c>
      <c r="DW15" s="123" t="e">
        <f>AND(Versiones!BP10,"AAAAAH9z/n4=")</f>
        <v>#VALUE!</v>
      </c>
      <c r="DX15" s="123" t="e">
        <f>AND(Versiones!BQ10,"AAAAAH9z/n8=")</f>
        <v>#VALUE!</v>
      </c>
      <c r="DY15" s="123" t="e">
        <f>AND(Versiones!BR10,"AAAAAH9z/oA=")</f>
        <v>#VALUE!</v>
      </c>
      <c r="DZ15" s="123" t="e">
        <f>AND(Versiones!BS10,"AAAAAH9z/oE=")</f>
        <v>#VALUE!</v>
      </c>
      <c r="EA15" s="123" t="e">
        <f>AND(Versiones!BT10,"AAAAAH9z/oI=")</f>
        <v>#VALUE!</v>
      </c>
      <c r="EB15" s="123" t="e">
        <f>AND(Versiones!BU10,"AAAAAH9z/oM=")</f>
        <v>#VALUE!</v>
      </c>
      <c r="EC15" s="123" t="e">
        <f>AND(Versiones!BV10,"AAAAAH9z/oQ=")</f>
        <v>#VALUE!</v>
      </c>
      <c r="ED15" s="123" t="e">
        <f>AND(Versiones!BW10,"AAAAAH9z/oU=")</f>
        <v>#VALUE!</v>
      </c>
      <c r="EE15" s="123" t="e">
        <f>AND(Versiones!BX10,"AAAAAH9z/oY=")</f>
        <v>#VALUE!</v>
      </c>
      <c r="EF15" s="123" t="e">
        <f>AND(Versiones!BY10,"AAAAAH9z/oc=")</f>
        <v>#VALUE!</v>
      </c>
      <c r="EG15" s="123" t="e">
        <f>AND(Versiones!BZ10,"AAAAAH9z/og=")</f>
        <v>#VALUE!</v>
      </c>
      <c r="EH15" s="123" t="e">
        <f>AND(Versiones!CA10,"AAAAAH9z/ok=")</f>
        <v>#VALUE!</v>
      </c>
      <c r="EI15" s="123" t="e">
        <f>AND(Versiones!CB10,"AAAAAH9z/oo=")</f>
        <v>#VALUE!</v>
      </c>
      <c r="EJ15" s="123" t="e">
        <f>AND(Versiones!CC10,"AAAAAH9z/os=")</f>
        <v>#VALUE!</v>
      </c>
      <c r="EK15" s="123" t="e">
        <f>AND(Versiones!CD10,"AAAAAH9z/ow=")</f>
        <v>#VALUE!</v>
      </c>
      <c r="EL15" s="123" t="e">
        <f>AND(Versiones!CE10,"AAAAAH9z/o0=")</f>
        <v>#VALUE!</v>
      </c>
      <c r="EM15" s="123" t="e">
        <f>AND(Versiones!CF10,"AAAAAH9z/o4=")</f>
        <v>#VALUE!</v>
      </c>
      <c r="EN15" s="123" t="e">
        <f>AND(Versiones!CG10,"AAAAAH9z/o8=")</f>
        <v>#VALUE!</v>
      </c>
      <c r="EO15" s="123" t="e">
        <f>AND(Versiones!CH10,"AAAAAH9z/pA=")</f>
        <v>#VALUE!</v>
      </c>
      <c r="EP15" s="123" t="e">
        <f>AND(Versiones!CI10,"AAAAAH9z/pE=")</f>
        <v>#VALUE!</v>
      </c>
      <c r="EQ15" s="123" t="e">
        <f>AND(Versiones!CJ10,"AAAAAH9z/pI=")</f>
        <v>#VALUE!</v>
      </c>
      <c r="ER15" s="123" t="e">
        <f>AND(Versiones!CK10,"AAAAAH9z/pM=")</f>
        <v>#VALUE!</v>
      </c>
      <c r="ES15" s="123" t="e">
        <f>AND(Versiones!CL10,"AAAAAH9z/pQ=")</f>
        <v>#VALUE!</v>
      </c>
      <c r="ET15" s="123" t="e">
        <f>AND(Versiones!CM10,"AAAAAH9z/pU=")</f>
        <v>#VALUE!</v>
      </c>
      <c r="EU15" s="123" t="e">
        <f>AND(Versiones!CN10,"AAAAAH9z/pY=")</f>
        <v>#VALUE!</v>
      </c>
      <c r="EV15" s="123" t="e">
        <f>AND(Versiones!CO10,"AAAAAH9z/pc=")</f>
        <v>#VALUE!</v>
      </c>
      <c r="EW15" s="123" t="e">
        <f>AND(Versiones!CP10,"AAAAAH9z/pg=")</f>
        <v>#VALUE!</v>
      </c>
      <c r="EX15" s="123" t="e">
        <f>AND(Versiones!CQ10,"AAAAAH9z/pk=")</f>
        <v>#VALUE!</v>
      </c>
      <c r="EY15" s="123" t="e">
        <f>AND(Versiones!CR10,"AAAAAH9z/po=")</f>
        <v>#VALUE!</v>
      </c>
      <c r="EZ15" s="123" t="e">
        <f>AND(Versiones!CS10,"AAAAAH9z/ps=")</f>
        <v>#VALUE!</v>
      </c>
      <c r="FA15" s="123" t="e">
        <f>AND(Versiones!CT10,"AAAAAH9z/pw=")</f>
        <v>#VALUE!</v>
      </c>
      <c r="FB15" s="123" t="e">
        <f>AND(Versiones!CU10,"AAAAAH9z/p0=")</f>
        <v>#VALUE!</v>
      </c>
      <c r="FC15" s="123" t="e">
        <f>AND(Versiones!CV10,"AAAAAH9z/p4=")</f>
        <v>#VALUE!</v>
      </c>
      <c r="FD15" s="123" t="e">
        <f>AND(Versiones!CW10,"AAAAAH9z/p8=")</f>
        <v>#VALUE!</v>
      </c>
      <c r="FE15" s="123" t="e">
        <f>AND(Versiones!CX10,"AAAAAH9z/qA=")</f>
        <v>#VALUE!</v>
      </c>
      <c r="FF15" s="123" t="e">
        <f>AND(Versiones!CY10,"AAAAAH9z/qE=")</f>
        <v>#VALUE!</v>
      </c>
      <c r="FG15" s="123" t="e">
        <f>AND(Versiones!CZ10,"AAAAAH9z/qI=")</f>
        <v>#VALUE!</v>
      </c>
      <c r="FH15" s="123" t="e">
        <f>AND(Versiones!DA10,"AAAAAH9z/qM=")</f>
        <v>#VALUE!</v>
      </c>
      <c r="FI15" s="123" t="e">
        <f>AND(Versiones!DB10,"AAAAAH9z/qQ=")</f>
        <v>#VALUE!</v>
      </c>
      <c r="FJ15" s="123" t="e">
        <f>AND(Versiones!DC10,"AAAAAH9z/qU=")</f>
        <v>#VALUE!</v>
      </c>
      <c r="FK15" s="123" t="e">
        <f>AND(Versiones!DD10,"AAAAAH9z/qY=")</f>
        <v>#VALUE!</v>
      </c>
      <c r="FL15" s="123" t="e">
        <f>AND(Versiones!DE10,"AAAAAH9z/qc=")</f>
        <v>#VALUE!</v>
      </c>
      <c r="FM15" s="123" t="e">
        <f>AND(Versiones!DF10,"AAAAAH9z/qg=")</f>
        <v>#VALUE!</v>
      </c>
      <c r="FN15" s="123" t="e">
        <f>AND(Versiones!DG10,"AAAAAH9z/qk=")</f>
        <v>#VALUE!</v>
      </c>
      <c r="FO15" s="123" t="e">
        <f>AND(Versiones!DH10,"AAAAAH9z/qo=")</f>
        <v>#VALUE!</v>
      </c>
      <c r="FP15" s="123" t="e">
        <f>AND(Versiones!DI10,"AAAAAH9z/qs=")</f>
        <v>#VALUE!</v>
      </c>
      <c r="FQ15" s="123" t="e">
        <f>AND(Versiones!DJ10,"AAAAAH9z/qw=")</f>
        <v>#VALUE!</v>
      </c>
      <c r="FR15" s="123" t="e">
        <f>AND(Versiones!DK10,"AAAAAH9z/q0=")</f>
        <v>#VALUE!</v>
      </c>
      <c r="FS15" s="123" t="e">
        <f>AND(Versiones!DL10,"AAAAAH9z/q4=")</f>
        <v>#VALUE!</v>
      </c>
      <c r="FT15" s="123" t="e">
        <f>AND(Versiones!DM10,"AAAAAH9z/q8=")</f>
        <v>#VALUE!</v>
      </c>
      <c r="FU15" s="123" t="e">
        <f>AND(Versiones!DN10,"AAAAAH9z/rA=")</f>
        <v>#VALUE!</v>
      </c>
      <c r="FV15" s="123" t="e">
        <f>AND(Versiones!DO10,"AAAAAH9z/rE=")</f>
        <v>#VALUE!</v>
      </c>
      <c r="FW15" s="123" t="e">
        <f>AND(Versiones!DP10,"AAAAAH9z/rI=")</f>
        <v>#VALUE!</v>
      </c>
      <c r="FX15" s="123" t="e">
        <f>AND(Versiones!DQ10,"AAAAAH9z/rM=")</f>
        <v>#VALUE!</v>
      </c>
      <c r="FY15" s="123" t="e">
        <f>AND(Versiones!DR10,"AAAAAH9z/rQ=")</f>
        <v>#VALUE!</v>
      </c>
      <c r="FZ15" s="123" t="e">
        <f>AND(Versiones!DS10,"AAAAAH9z/rU=")</f>
        <v>#VALUE!</v>
      </c>
      <c r="GA15" s="123" t="e">
        <f>AND(Versiones!DT10,"AAAAAH9z/rY=")</f>
        <v>#VALUE!</v>
      </c>
      <c r="GB15" s="123" t="e">
        <f>AND(Versiones!DU10,"AAAAAH9z/rc=")</f>
        <v>#VALUE!</v>
      </c>
      <c r="GC15" s="123" t="e">
        <f>AND(Versiones!DV10,"AAAAAH9z/rg=")</f>
        <v>#VALUE!</v>
      </c>
      <c r="GD15" s="123" t="e">
        <f>AND(Versiones!DW10,"AAAAAH9z/rk=")</f>
        <v>#VALUE!</v>
      </c>
      <c r="GE15" s="123" t="e">
        <f>AND(Versiones!DX10,"AAAAAH9z/ro=")</f>
        <v>#VALUE!</v>
      </c>
      <c r="GF15" s="123" t="e">
        <f>AND(Versiones!DY10,"AAAAAH9z/rs=")</f>
        <v>#VALUE!</v>
      </c>
      <c r="GG15" s="123" t="e">
        <f>AND(Versiones!DZ10,"AAAAAH9z/rw=")</f>
        <v>#VALUE!</v>
      </c>
      <c r="GH15" s="123" t="e">
        <f>AND(Versiones!EA10,"AAAAAH9z/r0=")</f>
        <v>#VALUE!</v>
      </c>
      <c r="GI15" s="123" t="e">
        <f>AND(Versiones!EB10,"AAAAAH9z/r4=")</f>
        <v>#VALUE!</v>
      </c>
      <c r="GJ15" s="123" t="e">
        <f>AND(Versiones!EC10,"AAAAAH9z/r8=")</f>
        <v>#VALUE!</v>
      </c>
      <c r="GK15" s="123" t="e">
        <f>AND(Versiones!ED10,"AAAAAH9z/sA=")</f>
        <v>#VALUE!</v>
      </c>
      <c r="GL15" s="123" t="e">
        <f>AND(Versiones!EE10,"AAAAAH9z/sE=")</f>
        <v>#VALUE!</v>
      </c>
      <c r="GM15" s="123" t="e">
        <f>AND(Versiones!EF10,"AAAAAH9z/sI=")</f>
        <v>#VALUE!</v>
      </c>
      <c r="GN15" s="123" t="e">
        <f>AND(Versiones!EG10,"AAAAAH9z/sM=")</f>
        <v>#VALUE!</v>
      </c>
      <c r="GO15" s="123" t="e">
        <f>AND(Versiones!EH10,"AAAAAH9z/sQ=")</f>
        <v>#VALUE!</v>
      </c>
      <c r="GP15" s="123" t="e">
        <f>AND(Versiones!EI10,"AAAAAH9z/sU=")</f>
        <v>#VALUE!</v>
      </c>
      <c r="GQ15" s="123" t="e">
        <f>AND(Versiones!EJ10,"AAAAAH9z/sY=")</f>
        <v>#VALUE!</v>
      </c>
      <c r="GR15" s="123" t="e">
        <f>AND(Versiones!EK10,"AAAAAH9z/sc=")</f>
        <v>#VALUE!</v>
      </c>
      <c r="GS15" s="123" t="e">
        <f>AND(Versiones!EL10,"AAAAAH9z/sg=")</f>
        <v>#VALUE!</v>
      </c>
      <c r="GT15" s="123" t="e">
        <f>AND(Versiones!EM10,"AAAAAH9z/sk=")</f>
        <v>#VALUE!</v>
      </c>
      <c r="GU15" s="123" t="e">
        <f>AND(Versiones!EN10,"AAAAAH9z/so=")</f>
        <v>#VALUE!</v>
      </c>
      <c r="GV15" s="123" t="e">
        <f>AND(Versiones!EO10,"AAAAAH9z/ss=")</f>
        <v>#VALUE!</v>
      </c>
      <c r="GW15" s="123" t="e">
        <f>AND(Versiones!EP10,"AAAAAH9z/sw=")</f>
        <v>#VALUE!</v>
      </c>
      <c r="GX15" s="123" t="e">
        <f>AND(Versiones!EQ10,"AAAAAH9z/s0=")</f>
        <v>#VALUE!</v>
      </c>
      <c r="GY15" s="123" t="e">
        <f>AND(Versiones!ER10,"AAAAAH9z/s4=")</f>
        <v>#VALUE!</v>
      </c>
      <c r="GZ15" s="123" t="e">
        <f>AND(Versiones!ES10,"AAAAAH9z/s8=")</f>
        <v>#VALUE!</v>
      </c>
      <c r="HA15" s="123" t="e">
        <f>AND(Versiones!ET10,"AAAAAH9z/tA=")</f>
        <v>#VALUE!</v>
      </c>
      <c r="HB15" s="123" t="e">
        <f>AND(Versiones!EU10,"AAAAAH9z/tE=")</f>
        <v>#VALUE!</v>
      </c>
      <c r="HC15" s="123" t="e">
        <f>AND(Versiones!EV10,"AAAAAH9z/tI=")</f>
        <v>#VALUE!</v>
      </c>
      <c r="HD15" s="123" t="e">
        <f>AND(Versiones!EW10,"AAAAAH9z/tM=")</f>
        <v>#VALUE!</v>
      </c>
      <c r="HE15" s="123" t="e">
        <f>AND(Versiones!EX10,"AAAAAH9z/tQ=")</f>
        <v>#VALUE!</v>
      </c>
      <c r="HF15" s="123" t="e">
        <f>AND(Versiones!EY10,"AAAAAH9z/tU=")</f>
        <v>#VALUE!</v>
      </c>
      <c r="HG15" s="123" t="e">
        <f>AND(Versiones!EZ10,"AAAAAH9z/tY=")</f>
        <v>#VALUE!</v>
      </c>
      <c r="HH15" s="123" t="e">
        <f>AND(Versiones!FA10,"AAAAAH9z/tc=")</f>
        <v>#VALUE!</v>
      </c>
      <c r="HI15" s="123" t="e">
        <f>AND(Versiones!FB10,"AAAAAH9z/tg=")</f>
        <v>#VALUE!</v>
      </c>
      <c r="HJ15" s="123" t="e">
        <f>AND(Versiones!FC10,"AAAAAH9z/tk=")</f>
        <v>#VALUE!</v>
      </c>
      <c r="HK15" s="123" t="e">
        <f>AND(Versiones!FD10,"AAAAAH9z/to=")</f>
        <v>#VALUE!</v>
      </c>
      <c r="HL15" s="123" t="e">
        <f>AND(Versiones!FE10,"AAAAAH9z/ts=")</f>
        <v>#VALUE!</v>
      </c>
      <c r="HM15" s="123" t="e">
        <f>AND(Versiones!FF10,"AAAAAH9z/tw=")</f>
        <v>#VALUE!</v>
      </c>
      <c r="HN15" s="123" t="e">
        <f>AND(Versiones!FG10,"AAAAAH9z/t0=")</f>
        <v>#VALUE!</v>
      </c>
      <c r="HO15" s="123" t="e">
        <f>AND(Versiones!FH10,"AAAAAH9z/t4=")</f>
        <v>#VALUE!</v>
      </c>
      <c r="HP15" s="123" t="e">
        <f>AND(Versiones!FI10,"AAAAAH9z/t8=")</f>
        <v>#VALUE!</v>
      </c>
      <c r="HQ15" s="123" t="e">
        <f>AND(Versiones!FJ10,"AAAAAH9z/uA=")</f>
        <v>#VALUE!</v>
      </c>
      <c r="HR15" s="123" t="e">
        <f>AND(Versiones!FK10,"AAAAAH9z/uE=")</f>
        <v>#VALUE!</v>
      </c>
      <c r="HS15" s="123" t="e">
        <f>AND(Versiones!FL10,"AAAAAH9z/uI=")</f>
        <v>#VALUE!</v>
      </c>
      <c r="HT15" s="123" t="e">
        <f>AND(Versiones!FM10,"AAAAAH9z/uM=")</f>
        <v>#VALUE!</v>
      </c>
      <c r="HU15" s="123" t="e">
        <f>AND(Versiones!FN10,"AAAAAH9z/uQ=")</f>
        <v>#VALUE!</v>
      </c>
      <c r="HV15" s="123" t="e">
        <f>AND(Versiones!FO10,"AAAAAH9z/uU=")</f>
        <v>#VALUE!</v>
      </c>
      <c r="HW15" s="123" t="e">
        <f>AND(Versiones!FP10,"AAAAAH9z/uY=")</f>
        <v>#VALUE!</v>
      </c>
      <c r="HX15" s="123" t="e">
        <f>AND(Versiones!FQ10,"AAAAAH9z/uc=")</f>
        <v>#VALUE!</v>
      </c>
      <c r="HY15" s="123" t="e">
        <f>AND(Versiones!FR10,"AAAAAH9z/ug=")</f>
        <v>#VALUE!</v>
      </c>
      <c r="HZ15" s="123" t="e">
        <f>AND(Versiones!FS10,"AAAAAH9z/uk=")</f>
        <v>#VALUE!</v>
      </c>
      <c r="IA15" s="123" t="e">
        <f>AND(Versiones!FT10,"AAAAAH9z/uo=")</f>
        <v>#VALUE!</v>
      </c>
      <c r="IB15" s="123" t="e">
        <f>AND(Versiones!FU10,"AAAAAH9z/us=")</f>
        <v>#VALUE!</v>
      </c>
      <c r="IC15" s="123" t="e">
        <f>AND(Versiones!FV10,"AAAAAH9z/uw=")</f>
        <v>#VALUE!</v>
      </c>
      <c r="ID15" s="123" t="e">
        <f>AND(Versiones!FW10,"AAAAAH9z/u0=")</f>
        <v>#VALUE!</v>
      </c>
      <c r="IE15" s="123" t="e">
        <f>AND(Versiones!FX10,"AAAAAH9z/u4=")</f>
        <v>#VALUE!</v>
      </c>
      <c r="IF15" s="123" t="e">
        <f>AND(Versiones!FY10,"AAAAAH9z/u8=")</f>
        <v>#VALUE!</v>
      </c>
      <c r="IG15" s="123" t="e">
        <f>AND(Versiones!FZ10,"AAAAAH9z/vA=")</f>
        <v>#VALUE!</v>
      </c>
      <c r="IH15" s="123" t="e">
        <f>AND(Versiones!GA10,"AAAAAH9z/vE=")</f>
        <v>#VALUE!</v>
      </c>
      <c r="II15" s="123" t="e">
        <f>AND(Versiones!GB10,"AAAAAH9z/vI=")</f>
        <v>#VALUE!</v>
      </c>
      <c r="IJ15" s="123" t="e">
        <f>AND(Versiones!GC10,"AAAAAH9z/vM=")</f>
        <v>#VALUE!</v>
      </c>
      <c r="IK15" s="123" t="e">
        <f>AND(Versiones!GD10,"AAAAAH9z/vQ=")</f>
        <v>#VALUE!</v>
      </c>
      <c r="IL15" s="123" t="e">
        <f>AND(Versiones!GE10,"AAAAAH9z/vU=")</f>
        <v>#VALUE!</v>
      </c>
      <c r="IM15" s="123" t="e">
        <f>AND(Versiones!GF10,"AAAAAH9z/vY=")</f>
        <v>#VALUE!</v>
      </c>
      <c r="IN15" s="123" t="e">
        <f>AND(Versiones!GG10,"AAAAAH9z/vc=")</f>
        <v>#VALUE!</v>
      </c>
      <c r="IO15" s="123" t="e">
        <f>AND(Versiones!GH10,"AAAAAH9z/vg=")</f>
        <v>#VALUE!</v>
      </c>
      <c r="IP15" s="123" t="e">
        <f>AND(Versiones!GI10,"AAAAAH9z/vk=")</f>
        <v>#VALUE!</v>
      </c>
      <c r="IQ15" s="123" t="e">
        <f>AND(Versiones!GJ10,"AAAAAH9z/vo=")</f>
        <v>#VALUE!</v>
      </c>
      <c r="IR15" s="123" t="e">
        <f>AND(Versiones!GK10,"AAAAAH9z/vs=")</f>
        <v>#VALUE!</v>
      </c>
      <c r="IS15" s="123" t="e">
        <f>AND(Versiones!GL10,"AAAAAH9z/vw=")</f>
        <v>#VALUE!</v>
      </c>
      <c r="IT15" s="123" t="e">
        <f>AND(Versiones!GM10,"AAAAAH9z/v0=")</f>
        <v>#VALUE!</v>
      </c>
      <c r="IU15" s="123" t="e">
        <f>AND(Versiones!GN10,"AAAAAH9z/v4=")</f>
        <v>#VALUE!</v>
      </c>
      <c r="IV15" s="123" t="e">
        <f>AND(Versiones!GO10,"AAAAAH9z/v8=")</f>
        <v>#VALUE!</v>
      </c>
    </row>
    <row r="16" spans="1:256" ht="14.4">
      <c r="A16" s="123" t="e">
        <f>AND(Versiones!GP10,"AAAAADz/+wA=")</f>
        <v>#VALUE!</v>
      </c>
      <c r="B16" s="123" t="e">
        <f>AND(Versiones!GQ10,"AAAAADz/+wE=")</f>
        <v>#VALUE!</v>
      </c>
      <c r="C16" s="123" t="e">
        <f>AND(Versiones!GR10,"AAAAADz/+wI=")</f>
        <v>#VALUE!</v>
      </c>
      <c r="D16" s="123" t="e">
        <f>AND(Versiones!GS10,"AAAAADz/+wM=")</f>
        <v>#VALUE!</v>
      </c>
      <c r="E16" s="123" t="e">
        <f>AND(Versiones!GT10,"AAAAADz/+wQ=")</f>
        <v>#VALUE!</v>
      </c>
      <c r="F16" s="123" t="e">
        <f>AND(Versiones!GU10,"AAAAADz/+wU=")</f>
        <v>#VALUE!</v>
      </c>
      <c r="G16" s="123" t="e">
        <f>AND(Versiones!GV10,"AAAAADz/+wY=")</f>
        <v>#VALUE!</v>
      </c>
      <c r="H16" s="123" t="e">
        <f>AND(Versiones!GW10,"AAAAADz/+wc=")</f>
        <v>#VALUE!</v>
      </c>
      <c r="I16" s="123" t="e">
        <f>AND(Versiones!GX10,"AAAAADz/+wg=")</f>
        <v>#VALUE!</v>
      </c>
      <c r="J16" s="123" t="e">
        <f>AND(Versiones!GY10,"AAAAADz/+wk=")</f>
        <v>#VALUE!</v>
      </c>
      <c r="K16" s="123" t="e">
        <f>AND(Versiones!GZ10,"AAAAADz/+wo=")</f>
        <v>#VALUE!</v>
      </c>
      <c r="L16" s="123" t="e">
        <f>AND(Versiones!HA10,"AAAAADz/+ws=")</f>
        <v>#VALUE!</v>
      </c>
      <c r="M16" s="123" t="e">
        <f>AND(Versiones!HB10,"AAAAADz/+ww=")</f>
        <v>#VALUE!</v>
      </c>
      <c r="N16" s="123" t="e">
        <f>AND(Versiones!HC10,"AAAAADz/+w0=")</f>
        <v>#VALUE!</v>
      </c>
      <c r="O16" s="123" t="e">
        <f>AND(Versiones!HD10,"AAAAADz/+w4=")</f>
        <v>#VALUE!</v>
      </c>
      <c r="P16" s="123" t="e">
        <f>AND(Versiones!HE10,"AAAAADz/+w8=")</f>
        <v>#VALUE!</v>
      </c>
      <c r="Q16" s="123" t="e">
        <f>AND(Versiones!HF10,"AAAAADz/+xA=")</f>
        <v>#VALUE!</v>
      </c>
      <c r="R16" s="123" t="e">
        <f>AND(Versiones!HG10,"AAAAADz/+xE=")</f>
        <v>#VALUE!</v>
      </c>
      <c r="S16" s="123" t="e">
        <f>AND(Versiones!HH10,"AAAAADz/+xI=")</f>
        <v>#VALUE!</v>
      </c>
      <c r="T16" s="123" t="e">
        <f>AND(Versiones!HI10,"AAAAADz/+xM=")</f>
        <v>#VALUE!</v>
      </c>
      <c r="U16" s="123">
        <f>IF(Versiones!11:11,"AAAAADz/+xQ=",0)</f>
        <v>0</v>
      </c>
      <c r="V16" s="123" t="e">
        <f>AND(Versiones!A11,"AAAAADz/+xU=")</f>
        <v>#VALUE!</v>
      </c>
      <c r="W16" s="123" t="e">
        <f>AND(Versiones!B11,"AAAAADz/+xY=")</f>
        <v>#VALUE!</v>
      </c>
      <c r="X16" s="123" t="e">
        <f>AND(Versiones!C11,"AAAAADz/+xc=")</f>
        <v>#VALUE!</v>
      </c>
      <c r="Y16" s="123" t="e">
        <f>AND(Versiones!D11,"AAAAADz/+xg=")</f>
        <v>#VALUE!</v>
      </c>
      <c r="Z16" s="123" t="e">
        <f>AND(Versiones!E11,"AAAAADz/+xk=")</f>
        <v>#VALUE!</v>
      </c>
      <c r="AA16" s="123" t="e">
        <f>AND(Versiones!F11,"AAAAADz/+xo=")</f>
        <v>#VALUE!</v>
      </c>
      <c r="AB16" s="123" t="e">
        <f>AND(Versiones!#REF!,"AAAAADz/+xs=")</f>
        <v>#REF!</v>
      </c>
      <c r="AC16" s="123" t="e">
        <f>AND(Versiones!G11,"AAAAADz/+xw=")</f>
        <v>#VALUE!</v>
      </c>
      <c r="AD16" s="123" t="e">
        <f>AND(Versiones!H11,"AAAAADz/+x0=")</f>
        <v>#VALUE!</v>
      </c>
      <c r="AE16" s="123" t="e">
        <f>AND(Versiones!I11,"AAAAADz/+x4=")</f>
        <v>#VALUE!</v>
      </c>
      <c r="AF16" s="123" t="e">
        <f>AND(Versiones!J11,"AAAAADz/+x8=")</f>
        <v>#VALUE!</v>
      </c>
      <c r="AG16" s="123" t="e">
        <f>AND(Versiones!K11,"AAAAADz/+yA=")</f>
        <v>#VALUE!</v>
      </c>
      <c r="AH16" s="123" t="e">
        <f>AND(Versiones!L11,"AAAAADz/+yE=")</f>
        <v>#VALUE!</v>
      </c>
      <c r="AI16" s="123" t="e">
        <f>AND(Versiones!M11,"AAAAADz/+yI=")</f>
        <v>#VALUE!</v>
      </c>
      <c r="AJ16" s="123" t="e">
        <f>AND(Versiones!N11,"AAAAADz/+yM=")</f>
        <v>#VALUE!</v>
      </c>
      <c r="AK16" s="123" t="e">
        <f>AND(Versiones!O11,"AAAAADz/+yQ=")</f>
        <v>#VALUE!</v>
      </c>
      <c r="AL16" s="123" t="e">
        <f>AND(Versiones!P11,"AAAAADz/+yU=")</f>
        <v>#VALUE!</v>
      </c>
      <c r="AM16" s="123" t="e">
        <f>AND(Versiones!Q11,"AAAAADz/+yY=")</f>
        <v>#VALUE!</v>
      </c>
      <c r="AN16" s="123" t="e">
        <f>AND(Versiones!R11,"AAAAADz/+yc=")</f>
        <v>#VALUE!</v>
      </c>
      <c r="AO16" s="123" t="e">
        <f>AND(Versiones!S11,"AAAAADz/+yg=")</f>
        <v>#VALUE!</v>
      </c>
      <c r="AP16" s="123" t="e">
        <f>AND(Versiones!T11,"AAAAADz/+yk=")</f>
        <v>#VALUE!</v>
      </c>
      <c r="AQ16" s="123" t="e">
        <f>AND(Versiones!U11,"AAAAADz/+yo=")</f>
        <v>#VALUE!</v>
      </c>
      <c r="AR16" s="123" t="e">
        <f>AND(Versiones!V11,"AAAAADz/+ys=")</f>
        <v>#VALUE!</v>
      </c>
      <c r="AS16" s="123" t="e">
        <f>AND(Versiones!W11,"AAAAADz/+yw=")</f>
        <v>#VALUE!</v>
      </c>
      <c r="AT16" s="123" t="e">
        <f>AND(Versiones!X11,"AAAAADz/+y0=")</f>
        <v>#VALUE!</v>
      </c>
      <c r="AU16" s="123" t="e">
        <f>AND(Versiones!Y11,"AAAAADz/+y4=")</f>
        <v>#VALUE!</v>
      </c>
      <c r="AV16" s="123" t="e">
        <f>AND(Versiones!Z11,"AAAAADz/+y8=")</f>
        <v>#VALUE!</v>
      </c>
      <c r="AW16" s="123" t="e">
        <f>AND(Versiones!AA11,"AAAAADz/+zA=")</f>
        <v>#VALUE!</v>
      </c>
      <c r="AX16" s="123" t="e">
        <f>AND(Versiones!AB11,"AAAAADz/+zE=")</f>
        <v>#VALUE!</v>
      </c>
      <c r="AY16" s="123" t="e">
        <f>AND(Versiones!AC11,"AAAAADz/+zI=")</f>
        <v>#VALUE!</v>
      </c>
      <c r="AZ16" s="123" t="e">
        <f>AND(Versiones!AD11,"AAAAADz/+zM=")</f>
        <v>#VALUE!</v>
      </c>
      <c r="BA16" s="123" t="e">
        <f>AND(Versiones!AE11,"AAAAADz/+zQ=")</f>
        <v>#VALUE!</v>
      </c>
      <c r="BB16" s="123" t="e">
        <f>AND(Versiones!AF11,"AAAAADz/+zU=")</f>
        <v>#VALUE!</v>
      </c>
      <c r="BC16" s="123" t="e">
        <f>AND(Versiones!AG11,"AAAAADz/+zY=")</f>
        <v>#VALUE!</v>
      </c>
      <c r="BD16" s="123" t="e">
        <f>AND(Versiones!AH11,"AAAAADz/+zc=")</f>
        <v>#VALUE!</v>
      </c>
      <c r="BE16" s="123" t="e">
        <f>AND(Versiones!AI11,"AAAAADz/+zg=")</f>
        <v>#VALUE!</v>
      </c>
      <c r="BF16" s="123" t="e">
        <f>AND(Versiones!AJ11,"AAAAADz/+zk=")</f>
        <v>#VALUE!</v>
      </c>
      <c r="BG16" s="123" t="e">
        <f>AND(Versiones!AK11,"AAAAADz/+zo=")</f>
        <v>#VALUE!</v>
      </c>
      <c r="BH16" s="123" t="e">
        <f>AND(Versiones!AL11,"AAAAADz/+zs=")</f>
        <v>#VALUE!</v>
      </c>
      <c r="BI16" s="123" t="e">
        <f>AND(Versiones!AM11,"AAAAADz/+zw=")</f>
        <v>#VALUE!</v>
      </c>
      <c r="BJ16" s="123" t="e">
        <f>AND(Versiones!AN11,"AAAAADz/+z0=")</f>
        <v>#VALUE!</v>
      </c>
      <c r="BK16" s="123" t="e">
        <f>AND(Versiones!AO11,"AAAAADz/+z4=")</f>
        <v>#VALUE!</v>
      </c>
      <c r="BL16" s="123" t="e">
        <f>AND(Versiones!AP11,"AAAAADz/+z8=")</f>
        <v>#VALUE!</v>
      </c>
      <c r="BM16" s="123" t="e">
        <f>AND(Versiones!AQ11,"AAAAADz/+0A=")</f>
        <v>#VALUE!</v>
      </c>
      <c r="BN16" s="123" t="e">
        <f>AND(Versiones!AR11,"AAAAADz/+0E=")</f>
        <v>#VALUE!</v>
      </c>
      <c r="BO16" s="123" t="e">
        <f>AND(Versiones!AS11,"AAAAADz/+0I=")</f>
        <v>#VALUE!</v>
      </c>
      <c r="BP16" s="123" t="e">
        <f>AND(Versiones!AT11,"AAAAADz/+0M=")</f>
        <v>#VALUE!</v>
      </c>
      <c r="BQ16" s="123" t="e">
        <f>AND(Versiones!AU11,"AAAAADz/+0Q=")</f>
        <v>#VALUE!</v>
      </c>
      <c r="BR16" s="123" t="e">
        <f>AND(Versiones!AV11,"AAAAADz/+0U=")</f>
        <v>#VALUE!</v>
      </c>
      <c r="BS16" s="123" t="e">
        <f>AND(Versiones!AW11,"AAAAADz/+0Y=")</f>
        <v>#VALUE!</v>
      </c>
      <c r="BT16" s="123" t="e">
        <f>AND(Versiones!AX11,"AAAAADz/+0c=")</f>
        <v>#VALUE!</v>
      </c>
      <c r="BU16" s="123" t="e">
        <f>AND(Versiones!AY11,"AAAAADz/+0g=")</f>
        <v>#VALUE!</v>
      </c>
      <c r="BV16" s="123" t="e">
        <f>AND(Versiones!AZ11,"AAAAADz/+0k=")</f>
        <v>#VALUE!</v>
      </c>
      <c r="BW16" s="123" t="e">
        <f>AND(Versiones!BA11,"AAAAADz/+0o=")</f>
        <v>#VALUE!</v>
      </c>
      <c r="BX16" s="123" t="e">
        <f>AND(Versiones!BB11,"AAAAADz/+0s=")</f>
        <v>#VALUE!</v>
      </c>
      <c r="BY16" s="123" t="e">
        <f>AND(Versiones!BC11,"AAAAADz/+0w=")</f>
        <v>#VALUE!</v>
      </c>
      <c r="BZ16" s="123" t="e">
        <f>AND(Versiones!BD11,"AAAAADz/+00=")</f>
        <v>#VALUE!</v>
      </c>
      <c r="CA16" s="123" t="e">
        <f>AND(Versiones!BE11,"AAAAADz/+04=")</f>
        <v>#VALUE!</v>
      </c>
      <c r="CB16" s="123" t="e">
        <f>AND(Versiones!BF11,"AAAAADz/+08=")</f>
        <v>#VALUE!</v>
      </c>
      <c r="CC16" s="123" t="e">
        <f>AND(Versiones!BG11,"AAAAADz/+1A=")</f>
        <v>#VALUE!</v>
      </c>
      <c r="CD16" s="123" t="e">
        <f>AND(Versiones!BH11,"AAAAADz/+1E=")</f>
        <v>#VALUE!</v>
      </c>
      <c r="CE16" s="123" t="e">
        <f>AND(Versiones!BI11,"AAAAADz/+1I=")</f>
        <v>#VALUE!</v>
      </c>
      <c r="CF16" s="123" t="e">
        <f>AND(Versiones!BJ11,"AAAAADz/+1M=")</f>
        <v>#VALUE!</v>
      </c>
      <c r="CG16" s="123" t="e">
        <f>AND(Versiones!BK11,"AAAAADz/+1Q=")</f>
        <v>#VALUE!</v>
      </c>
      <c r="CH16" s="123" t="e">
        <f>AND(Versiones!BL11,"AAAAADz/+1U=")</f>
        <v>#VALUE!</v>
      </c>
      <c r="CI16" s="123" t="e">
        <f>AND(Versiones!BM11,"AAAAADz/+1Y=")</f>
        <v>#VALUE!</v>
      </c>
      <c r="CJ16" s="123" t="e">
        <f>AND(Versiones!BN11,"AAAAADz/+1c=")</f>
        <v>#VALUE!</v>
      </c>
      <c r="CK16" s="123" t="e">
        <f>AND(Versiones!BO11,"AAAAADz/+1g=")</f>
        <v>#VALUE!</v>
      </c>
      <c r="CL16" s="123" t="e">
        <f>AND(Versiones!BP11,"AAAAADz/+1k=")</f>
        <v>#VALUE!</v>
      </c>
      <c r="CM16" s="123" t="e">
        <f>AND(Versiones!BQ11,"AAAAADz/+1o=")</f>
        <v>#VALUE!</v>
      </c>
      <c r="CN16" s="123" t="e">
        <f>AND(Versiones!BR11,"AAAAADz/+1s=")</f>
        <v>#VALUE!</v>
      </c>
      <c r="CO16" s="123" t="e">
        <f>AND(Versiones!BS11,"AAAAADz/+1w=")</f>
        <v>#VALUE!</v>
      </c>
      <c r="CP16" s="123" t="e">
        <f>AND(Versiones!BT11,"AAAAADz/+10=")</f>
        <v>#VALUE!</v>
      </c>
      <c r="CQ16" s="123" t="e">
        <f>AND(Versiones!BU11,"AAAAADz/+14=")</f>
        <v>#VALUE!</v>
      </c>
      <c r="CR16" s="123" t="e">
        <f>AND(Versiones!BV11,"AAAAADz/+18=")</f>
        <v>#VALUE!</v>
      </c>
      <c r="CS16" s="123" t="e">
        <f>AND(Versiones!BW11,"AAAAADz/+2A=")</f>
        <v>#VALUE!</v>
      </c>
      <c r="CT16" s="123" t="e">
        <f>AND(Versiones!BX11,"AAAAADz/+2E=")</f>
        <v>#VALUE!</v>
      </c>
      <c r="CU16" s="123" t="e">
        <f>AND(Versiones!BY11,"AAAAADz/+2I=")</f>
        <v>#VALUE!</v>
      </c>
      <c r="CV16" s="123" t="e">
        <f>AND(Versiones!BZ11,"AAAAADz/+2M=")</f>
        <v>#VALUE!</v>
      </c>
      <c r="CW16" s="123" t="e">
        <f>AND(Versiones!CA11,"AAAAADz/+2Q=")</f>
        <v>#VALUE!</v>
      </c>
      <c r="CX16" s="123" t="e">
        <f>AND(Versiones!CB11,"AAAAADz/+2U=")</f>
        <v>#VALUE!</v>
      </c>
      <c r="CY16" s="123" t="e">
        <f>AND(Versiones!CC11,"AAAAADz/+2Y=")</f>
        <v>#VALUE!</v>
      </c>
      <c r="CZ16" s="123" t="e">
        <f>AND(Versiones!CD11,"AAAAADz/+2c=")</f>
        <v>#VALUE!</v>
      </c>
      <c r="DA16" s="123" t="e">
        <f>AND(Versiones!CE11,"AAAAADz/+2g=")</f>
        <v>#VALUE!</v>
      </c>
      <c r="DB16" s="123" t="e">
        <f>AND(Versiones!CF11,"AAAAADz/+2k=")</f>
        <v>#VALUE!</v>
      </c>
      <c r="DC16" s="123" t="e">
        <f>AND(Versiones!CG11,"AAAAADz/+2o=")</f>
        <v>#VALUE!</v>
      </c>
      <c r="DD16" s="123" t="e">
        <f>AND(Versiones!CH11,"AAAAADz/+2s=")</f>
        <v>#VALUE!</v>
      </c>
      <c r="DE16" s="123" t="e">
        <f>AND(Versiones!CI11,"AAAAADz/+2w=")</f>
        <v>#VALUE!</v>
      </c>
      <c r="DF16" s="123" t="e">
        <f>AND(Versiones!CJ11,"AAAAADz/+20=")</f>
        <v>#VALUE!</v>
      </c>
      <c r="DG16" s="123" t="e">
        <f>AND(Versiones!CK11,"AAAAADz/+24=")</f>
        <v>#VALUE!</v>
      </c>
      <c r="DH16" s="123" t="e">
        <f>AND(Versiones!CL11,"AAAAADz/+28=")</f>
        <v>#VALUE!</v>
      </c>
      <c r="DI16" s="123" t="e">
        <f>AND(Versiones!CM11,"AAAAADz/+3A=")</f>
        <v>#VALUE!</v>
      </c>
      <c r="DJ16" s="123" t="e">
        <f>AND(Versiones!CN11,"AAAAADz/+3E=")</f>
        <v>#VALUE!</v>
      </c>
      <c r="DK16" s="123" t="e">
        <f>AND(Versiones!CO11,"AAAAADz/+3I=")</f>
        <v>#VALUE!</v>
      </c>
      <c r="DL16" s="123" t="e">
        <f>AND(Versiones!CP11,"AAAAADz/+3M=")</f>
        <v>#VALUE!</v>
      </c>
      <c r="DM16" s="123" t="e">
        <f>AND(Versiones!CQ11,"AAAAADz/+3Q=")</f>
        <v>#VALUE!</v>
      </c>
      <c r="DN16" s="123" t="e">
        <f>AND(Versiones!CR11,"AAAAADz/+3U=")</f>
        <v>#VALUE!</v>
      </c>
      <c r="DO16" s="123" t="e">
        <f>AND(Versiones!CS11,"AAAAADz/+3Y=")</f>
        <v>#VALUE!</v>
      </c>
      <c r="DP16" s="123" t="e">
        <f>AND(Versiones!CT11,"AAAAADz/+3c=")</f>
        <v>#VALUE!</v>
      </c>
      <c r="DQ16" s="123" t="e">
        <f>AND(Versiones!CU11,"AAAAADz/+3g=")</f>
        <v>#VALUE!</v>
      </c>
      <c r="DR16" s="123" t="e">
        <f>AND(Versiones!CV11,"AAAAADz/+3k=")</f>
        <v>#VALUE!</v>
      </c>
      <c r="DS16" s="123" t="e">
        <f>AND(Versiones!CW11,"AAAAADz/+3o=")</f>
        <v>#VALUE!</v>
      </c>
      <c r="DT16" s="123" t="e">
        <f>AND(Versiones!CX11,"AAAAADz/+3s=")</f>
        <v>#VALUE!</v>
      </c>
      <c r="DU16" s="123" t="e">
        <f>AND(Versiones!CY11,"AAAAADz/+3w=")</f>
        <v>#VALUE!</v>
      </c>
      <c r="DV16" s="123" t="e">
        <f>AND(Versiones!CZ11,"AAAAADz/+30=")</f>
        <v>#VALUE!</v>
      </c>
      <c r="DW16" s="123" t="e">
        <f>AND(Versiones!DA11,"AAAAADz/+34=")</f>
        <v>#VALUE!</v>
      </c>
      <c r="DX16" s="123" t="e">
        <f>AND(Versiones!DB11,"AAAAADz/+38=")</f>
        <v>#VALUE!</v>
      </c>
      <c r="DY16" s="123" t="e">
        <f>AND(Versiones!DC11,"AAAAADz/+4A=")</f>
        <v>#VALUE!</v>
      </c>
      <c r="DZ16" s="123" t="e">
        <f>AND(Versiones!DD11,"AAAAADz/+4E=")</f>
        <v>#VALUE!</v>
      </c>
      <c r="EA16" s="123" t="e">
        <f>AND(Versiones!DE11,"AAAAADz/+4I=")</f>
        <v>#VALUE!</v>
      </c>
      <c r="EB16" s="123" t="e">
        <f>AND(Versiones!DF11,"AAAAADz/+4M=")</f>
        <v>#VALUE!</v>
      </c>
      <c r="EC16" s="123" t="e">
        <f>AND(Versiones!DG11,"AAAAADz/+4Q=")</f>
        <v>#VALUE!</v>
      </c>
      <c r="ED16" s="123" t="e">
        <f>AND(Versiones!DH11,"AAAAADz/+4U=")</f>
        <v>#VALUE!</v>
      </c>
      <c r="EE16" s="123" t="e">
        <f>AND(Versiones!DI11,"AAAAADz/+4Y=")</f>
        <v>#VALUE!</v>
      </c>
      <c r="EF16" s="123" t="e">
        <f>AND(Versiones!DJ11,"AAAAADz/+4c=")</f>
        <v>#VALUE!</v>
      </c>
      <c r="EG16" s="123" t="e">
        <f>AND(Versiones!DK11,"AAAAADz/+4g=")</f>
        <v>#VALUE!</v>
      </c>
      <c r="EH16" s="123" t="e">
        <f>AND(Versiones!DL11,"AAAAADz/+4k=")</f>
        <v>#VALUE!</v>
      </c>
      <c r="EI16" s="123" t="e">
        <f>AND(Versiones!DM11,"AAAAADz/+4o=")</f>
        <v>#VALUE!</v>
      </c>
      <c r="EJ16" s="123" t="e">
        <f>AND(Versiones!DN11,"AAAAADz/+4s=")</f>
        <v>#VALUE!</v>
      </c>
      <c r="EK16" s="123" t="e">
        <f>AND(Versiones!DO11,"AAAAADz/+4w=")</f>
        <v>#VALUE!</v>
      </c>
      <c r="EL16" s="123" t="e">
        <f>AND(Versiones!DP11,"AAAAADz/+40=")</f>
        <v>#VALUE!</v>
      </c>
      <c r="EM16" s="123" t="e">
        <f>AND(Versiones!DQ11,"AAAAADz/+44=")</f>
        <v>#VALUE!</v>
      </c>
      <c r="EN16" s="123" t="e">
        <f>AND(Versiones!DR11,"AAAAADz/+48=")</f>
        <v>#VALUE!</v>
      </c>
      <c r="EO16" s="123" t="e">
        <f>AND(Versiones!DS11,"AAAAADz/+5A=")</f>
        <v>#VALUE!</v>
      </c>
      <c r="EP16" s="123" t="e">
        <f>AND(Versiones!DT11,"AAAAADz/+5E=")</f>
        <v>#VALUE!</v>
      </c>
      <c r="EQ16" s="123" t="e">
        <f>AND(Versiones!DU11,"AAAAADz/+5I=")</f>
        <v>#VALUE!</v>
      </c>
      <c r="ER16" s="123" t="e">
        <f>AND(Versiones!DV11,"AAAAADz/+5M=")</f>
        <v>#VALUE!</v>
      </c>
      <c r="ES16" s="123" t="e">
        <f>AND(Versiones!DW11,"AAAAADz/+5Q=")</f>
        <v>#VALUE!</v>
      </c>
      <c r="ET16" s="123" t="e">
        <f>AND(Versiones!DX11,"AAAAADz/+5U=")</f>
        <v>#VALUE!</v>
      </c>
      <c r="EU16" s="123" t="e">
        <f>AND(Versiones!DY11,"AAAAADz/+5Y=")</f>
        <v>#VALUE!</v>
      </c>
      <c r="EV16" s="123" t="e">
        <f>AND(Versiones!DZ11,"AAAAADz/+5c=")</f>
        <v>#VALUE!</v>
      </c>
      <c r="EW16" s="123" t="e">
        <f>AND(Versiones!EA11,"AAAAADz/+5g=")</f>
        <v>#VALUE!</v>
      </c>
      <c r="EX16" s="123" t="e">
        <f>AND(Versiones!EB11,"AAAAADz/+5k=")</f>
        <v>#VALUE!</v>
      </c>
      <c r="EY16" s="123" t="e">
        <f>AND(Versiones!EC11,"AAAAADz/+5o=")</f>
        <v>#VALUE!</v>
      </c>
      <c r="EZ16" s="123" t="e">
        <f>AND(Versiones!ED11,"AAAAADz/+5s=")</f>
        <v>#VALUE!</v>
      </c>
      <c r="FA16" s="123" t="e">
        <f>AND(Versiones!EE11,"AAAAADz/+5w=")</f>
        <v>#VALUE!</v>
      </c>
      <c r="FB16" s="123" t="e">
        <f>AND(Versiones!EF11,"AAAAADz/+50=")</f>
        <v>#VALUE!</v>
      </c>
      <c r="FC16" s="123" t="e">
        <f>AND(Versiones!EG11,"AAAAADz/+54=")</f>
        <v>#VALUE!</v>
      </c>
      <c r="FD16" s="123" t="e">
        <f>AND(Versiones!EH11,"AAAAADz/+58=")</f>
        <v>#VALUE!</v>
      </c>
      <c r="FE16" s="123" t="e">
        <f>AND(Versiones!EI11,"AAAAADz/+6A=")</f>
        <v>#VALUE!</v>
      </c>
      <c r="FF16" s="123" t="e">
        <f>AND(Versiones!EJ11,"AAAAADz/+6E=")</f>
        <v>#VALUE!</v>
      </c>
      <c r="FG16" s="123" t="e">
        <f>AND(Versiones!EK11,"AAAAADz/+6I=")</f>
        <v>#VALUE!</v>
      </c>
      <c r="FH16" s="123" t="e">
        <f>AND(Versiones!EL11,"AAAAADz/+6M=")</f>
        <v>#VALUE!</v>
      </c>
      <c r="FI16" s="123" t="e">
        <f>AND(Versiones!EM11,"AAAAADz/+6Q=")</f>
        <v>#VALUE!</v>
      </c>
      <c r="FJ16" s="123" t="e">
        <f>AND(Versiones!EN11,"AAAAADz/+6U=")</f>
        <v>#VALUE!</v>
      </c>
      <c r="FK16" s="123" t="e">
        <f>AND(Versiones!EO11,"AAAAADz/+6Y=")</f>
        <v>#VALUE!</v>
      </c>
      <c r="FL16" s="123" t="e">
        <f>AND(Versiones!EP11,"AAAAADz/+6c=")</f>
        <v>#VALUE!</v>
      </c>
      <c r="FM16" s="123" t="e">
        <f>AND(Versiones!EQ11,"AAAAADz/+6g=")</f>
        <v>#VALUE!</v>
      </c>
      <c r="FN16" s="123" t="e">
        <f>AND(Versiones!ER11,"AAAAADz/+6k=")</f>
        <v>#VALUE!</v>
      </c>
      <c r="FO16" s="123" t="e">
        <f>AND(Versiones!ES11,"AAAAADz/+6o=")</f>
        <v>#VALUE!</v>
      </c>
      <c r="FP16" s="123" t="e">
        <f>AND(Versiones!ET11,"AAAAADz/+6s=")</f>
        <v>#VALUE!</v>
      </c>
      <c r="FQ16" s="123" t="e">
        <f>AND(Versiones!EU11,"AAAAADz/+6w=")</f>
        <v>#VALUE!</v>
      </c>
      <c r="FR16" s="123" t="e">
        <f>AND(Versiones!EV11,"AAAAADz/+60=")</f>
        <v>#VALUE!</v>
      </c>
      <c r="FS16" s="123" t="e">
        <f>AND(Versiones!EW11,"AAAAADz/+64=")</f>
        <v>#VALUE!</v>
      </c>
      <c r="FT16" s="123" t="e">
        <f>AND(Versiones!EX11,"AAAAADz/+68=")</f>
        <v>#VALUE!</v>
      </c>
      <c r="FU16" s="123" t="e">
        <f>AND(Versiones!EY11,"AAAAADz/+7A=")</f>
        <v>#VALUE!</v>
      </c>
      <c r="FV16" s="123" t="e">
        <f>AND(Versiones!EZ11,"AAAAADz/+7E=")</f>
        <v>#VALUE!</v>
      </c>
      <c r="FW16" s="123" t="e">
        <f>AND(Versiones!FA11,"AAAAADz/+7I=")</f>
        <v>#VALUE!</v>
      </c>
      <c r="FX16" s="123" t="e">
        <f>AND(Versiones!FB11,"AAAAADz/+7M=")</f>
        <v>#VALUE!</v>
      </c>
      <c r="FY16" s="123" t="e">
        <f>AND(Versiones!FC11,"AAAAADz/+7Q=")</f>
        <v>#VALUE!</v>
      </c>
      <c r="FZ16" s="123" t="e">
        <f>AND(Versiones!FD11,"AAAAADz/+7U=")</f>
        <v>#VALUE!</v>
      </c>
      <c r="GA16" s="123" t="e">
        <f>AND(Versiones!FE11,"AAAAADz/+7Y=")</f>
        <v>#VALUE!</v>
      </c>
      <c r="GB16" s="123" t="e">
        <f>AND(Versiones!FF11,"AAAAADz/+7c=")</f>
        <v>#VALUE!</v>
      </c>
      <c r="GC16" s="123" t="e">
        <f>AND(Versiones!FG11,"AAAAADz/+7g=")</f>
        <v>#VALUE!</v>
      </c>
      <c r="GD16" s="123" t="e">
        <f>AND(Versiones!FH11,"AAAAADz/+7k=")</f>
        <v>#VALUE!</v>
      </c>
      <c r="GE16" s="123" t="e">
        <f>AND(Versiones!FI11,"AAAAADz/+7o=")</f>
        <v>#VALUE!</v>
      </c>
      <c r="GF16" s="123" t="e">
        <f>AND(Versiones!FJ11,"AAAAADz/+7s=")</f>
        <v>#VALUE!</v>
      </c>
      <c r="GG16" s="123" t="e">
        <f>AND(Versiones!FK11,"AAAAADz/+7w=")</f>
        <v>#VALUE!</v>
      </c>
      <c r="GH16" s="123" t="e">
        <f>AND(Versiones!FL11,"AAAAADz/+70=")</f>
        <v>#VALUE!</v>
      </c>
      <c r="GI16" s="123" t="e">
        <f>AND(Versiones!FM11,"AAAAADz/+74=")</f>
        <v>#VALUE!</v>
      </c>
      <c r="GJ16" s="123" t="e">
        <f>AND(Versiones!FN11,"AAAAADz/+78=")</f>
        <v>#VALUE!</v>
      </c>
      <c r="GK16" s="123" t="e">
        <f>AND(Versiones!FO11,"AAAAADz/+8A=")</f>
        <v>#VALUE!</v>
      </c>
      <c r="GL16" s="123" t="e">
        <f>AND(Versiones!FP11,"AAAAADz/+8E=")</f>
        <v>#VALUE!</v>
      </c>
      <c r="GM16" s="123" t="e">
        <f>AND(Versiones!FQ11,"AAAAADz/+8I=")</f>
        <v>#VALUE!</v>
      </c>
      <c r="GN16" s="123" t="e">
        <f>AND(Versiones!FR11,"AAAAADz/+8M=")</f>
        <v>#VALUE!</v>
      </c>
      <c r="GO16" s="123" t="e">
        <f>AND(Versiones!FS11,"AAAAADz/+8Q=")</f>
        <v>#VALUE!</v>
      </c>
      <c r="GP16" s="123" t="e">
        <f>AND(Versiones!FT11,"AAAAADz/+8U=")</f>
        <v>#VALUE!</v>
      </c>
      <c r="GQ16" s="123" t="e">
        <f>AND(Versiones!FU11,"AAAAADz/+8Y=")</f>
        <v>#VALUE!</v>
      </c>
      <c r="GR16" s="123" t="e">
        <f>AND(Versiones!FV11,"AAAAADz/+8c=")</f>
        <v>#VALUE!</v>
      </c>
      <c r="GS16" s="123" t="e">
        <f>AND(Versiones!FW11,"AAAAADz/+8g=")</f>
        <v>#VALUE!</v>
      </c>
      <c r="GT16" s="123" t="e">
        <f>AND(Versiones!FX11,"AAAAADz/+8k=")</f>
        <v>#VALUE!</v>
      </c>
      <c r="GU16" s="123" t="e">
        <f>AND(Versiones!FY11,"AAAAADz/+8o=")</f>
        <v>#VALUE!</v>
      </c>
      <c r="GV16" s="123" t="e">
        <f>AND(Versiones!FZ11,"AAAAADz/+8s=")</f>
        <v>#VALUE!</v>
      </c>
      <c r="GW16" s="123" t="e">
        <f>AND(Versiones!GA11,"AAAAADz/+8w=")</f>
        <v>#VALUE!</v>
      </c>
      <c r="GX16" s="123" t="e">
        <f>AND(Versiones!GB11,"AAAAADz/+80=")</f>
        <v>#VALUE!</v>
      </c>
      <c r="GY16" s="123" t="e">
        <f>AND(Versiones!GC11,"AAAAADz/+84=")</f>
        <v>#VALUE!</v>
      </c>
      <c r="GZ16" s="123" t="e">
        <f>AND(Versiones!GD11,"AAAAADz/+88=")</f>
        <v>#VALUE!</v>
      </c>
      <c r="HA16" s="123" t="e">
        <f>AND(Versiones!GE11,"AAAAADz/+9A=")</f>
        <v>#VALUE!</v>
      </c>
      <c r="HB16" s="123" t="e">
        <f>AND(Versiones!GF11,"AAAAADz/+9E=")</f>
        <v>#VALUE!</v>
      </c>
      <c r="HC16" s="123" t="e">
        <f>AND(Versiones!GG11,"AAAAADz/+9I=")</f>
        <v>#VALUE!</v>
      </c>
      <c r="HD16" s="123" t="e">
        <f>AND(Versiones!GH11,"AAAAADz/+9M=")</f>
        <v>#VALUE!</v>
      </c>
      <c r="HE16" s="123" t="e">
        <f>AND(Versiones!GI11,"AAAAADz/+9Q=")</f>
        <v>#VALUE!</v>
      </c>
      <c r="HF16" s="123" t="e">
        <f>AND(Versiones!GJ11,"AAAAADz/+9U=")</f>
        <v>#VALUE!</v>
      </c>
      <c r="HG16" s="123" t="e">
        <f>AND(Versiones!GK11,"AAAAADz/+9Y=")</f>
        <v>#VALUE!</v>
      </c>
      <c r="HH16" s="123" t="e">
        <f>AND(Versiones!GL11,"AAAAADz/+9c=")</f>
        <v>#VALUE!</v>
      </c>
      <c r="HI16" s="123" t="e">
        <f>AND(Versiones!GM11,"AAAAADz/+9g=")</f>
        <v>#VALUE!</v>
      </c>
      <c r="HJ16" s="123" t="e">
        <f>AND(Versiones!GN11,"AAAAADz/+9k=")</f>
        <v>#VALUE!</v>
      </c>
      <c r="HK16" s="123" t="e">
        <f>AND(Versiones!GO11,"AAAAADz/+9o=")</f>
        <v>#VALUE!</v>
      </c>
      <c r="HL16" s="123" t="e">
        <f>AND(Versiones!GP11,"AAAAADz/+9s=")</f>
        <v>#VALUE!</v>
      </c>
      <c r="HM16" s="123" t="e">
        <f>AND(Versiones!GQ11,"AAAAADz/+9w=")</f>
        <v>#VALUE!</v>
      </c>
      <c r="HN16" s="123" t="e">
        <f>AND(Versiones!GR11,"AAAAADz/+90=")</f>
        <v>#VALUE!</v>
      </c>
      <c r="HO16" s="123" t="e">
        <f>AND(Versiones!GS11,"AAAAADz/+94=")</f>
        <v>#VALUE!</v>
      </c>
      <c r="HP16" s="123" t="e">
        <f>AND(Versiones!GT11,"AAAAADz/+98=")</f>
        <v>#VALUE!</v>
      </c>
      <c r="HQ16" s="123" t="e">
        <f>AND(Versiones!GU11,"AAAAADz/++A=")</f>
        <v>#VALUE!</v>
      </c>
      <c r="HR16" s="123" t="e">
        <f>AND(Versiones!GV11,"AAAAADz/++E=")</f>
        <v>#VALUE!</v>
      </c>
      <c r="HS16" s="123" t="e">
        <f>AND(Versiones!GW11,"AAAAADz/++I=")</f>
        <v>#VALUE!</v>
      </c>
      <c r="HT16" s="123" t="e">
        <f>AND(Versiones!GX11,"AAAAADz/++M=")</f>
        <v>#VALUE!</v>
      </c>
      <c r="HU16" s="123" t="e">
        <f>AND(Versiones!GY11,"AAAAADz/++Q=")</f>
        <v>#VALUE!</v>
      </c>
      <c r="HV16" s="123" t="e">
        <f>AND(Versiones!GZ11,"AAAAADz/++U=")</f>
        <v>#VALUE!</v>
      </c>
      <c r="HW16" s="123" t="e">
        <f>AND(Versiones!HA11,"AAAAADz/++Y=")</f>
        <v>#VALUE!</v>
      </c>
      <c r="HX16" s="123" t="e">
        <f>AND(Versiones!HB11,"AAAAADz/++c=")</f>
        <v>#VALUE!</v>
      </c>
      <c r="HY16" s="123" t="e">
        <f>AND(Versiones!HC11,"AAAAADz/++g=")</f>
        <v>#VALUE!</v>
      </c>
      <c r="HZ16" s="123" t="e">
        <f>AND(Versiones!HD11,"AAAAADz/++k=")</f>
        <v>#VALUE!</v>
      </c>
      <c r="IA16" s="123" t="e">
        <f>AND(Versiones!HE11,"AAAAADz/++o=")</f>
        <v>#VALUE!</v>
      </c>
      <c r="IB16" s="123" t="e">
        <f>AND(Versiones!HF11,"AAAAADz/++s=")</f>
        <v>#VALUE!</v>
      </c>
      <c r="IC16" s="123" t="e">
        <f>AND(Versiones!HG11,"AAAAADz/++w=")</f>
        <v>#VALUE!</v>
      </c>
      <c r="ID16" s="123" t="e">
        <f>AND(Versiones!HH11,"AAAAADz/++0=")</f>
        <v>#VALUE!</v>
      </c>
      <c r="IE16" s="123" t="e">
        <f>AND(Versiones!HI11,"AAAAADz/++4=")</f>
        <v>#VALUE!</v>
      </c>
      <c r="IF16" s="123">
        <f>IF(Versiones!12:12,"AAAAADz/++8=",0)</f>
        <v>0</v>
      </c>
      <c r="IG16" s="123" t="e">
        <f>AND(Versiones!A12,"AAAAADz/+/A=")</f>
        <v>#VALUE!</v>
      </c>
      <c r="IH16" s="123" t="e">
        <f>AND(Versiones!B12,"AAAAADz/+/E=")</f>
        <v>#VALUE!</v>
      </c>
      <c r="II16" s="123" t="e">
        <f>AND(Versiones!C12,"AAAAADz/+/I=")</f>
        <v>#VALUE!</v>
      </c>
      <c r="IJ16" s="123" t="e">
        <f>AND(Versiones!D12,"AAAAADz/+/M=")</f>
        <v>#VALUE!</v>
      </c>
      <c r="IK16" s="123" t="e">
        <f>AND(Versiones!E12,"AAAAADz/+/Q=")</f>
        <v>#VALUE!</v>
      </c>
      <c r="IL16" s="123" t="e">
        <f>AND(Versiones!F12,"AAAAADz/+/U=")</f>
        <v>#VALUE!</v>
      </c>
      <c r="IM16" s="123" t="e">
        <f>AND(Versiones!#REF!,"AAAAADz/+/Y=")</f>
        <v>#REF!</v>
      </c>
      <c r="IN16" s="123" t="e">
        <f>AND(Versiones!G12,"AAAAADz/+/c=")</f>
        <v>#VALUE!</v>
      </c>
      <c r="IO16" s="123" t="e">
        <f>AND(Versiones!H12,"AAAAADz/+/g=")</f>
        <v>#VALUE!</v>
      </c>
      <c r="IP16" s="123" t="e">
        <f>AND(Versiones!I12,"AAAAADz/+/k=")</f>
        <v>#VALUE!</v>
      </c>
      <c r="IQ16" s="123" t="e">
        <f>AND(Versiones!J12,"AAAAADz/+/o=")</f>
        <v>#VALUE!</v>
      </c>
      <c r="IR16" s="123" t="e">
        <f>AND(Versiones!K12,"AAAAADz/+/s=")</f>
        <v>#VALUE!</v>
      </c>
      <c r="IS16" s="123" t="e">
        <f>AND(Versiones!L12,"AAAAADz/+/w=")</f>
        <v>#VALUE!</v>
      </c>
      <c r="IT16" s="123" t="e">
        <f>AND(Versiones!M12,"AAAAADz/+/0=")</f>
        <v>#VALUE!</v>
      </c>
      <c r="IU16" s="123" t="e">
        <f>AND(Versiones!N12,"AAAAADz/+/4=")</f>
        <v>#VALUE!</v>
      </c>
      <c r="IV16" s="123" t="e">
        <f>AND(Versiones!O12,"AAAAADz/+/8=")</f>
        <v>#VALUE!</v>
      </c>
    </row>
    <row r="17" spans="1:256" ht="14.4">
      <c r="A17" s="123" t="e">
        <f>AND(Versiones!P12,"AAAAAD570wA=")</f>
        <v>#VALUE!</v>
      </c>
      <c r="B17" s="123" t="e">
        <f>AND(Versiones!Q12,"AAAAAD570wE=")</f>
        <v>#VALUE!</v>
      </c>
      <c r="C17" s="123" t="e">
        <f>AND(Versiones!R12,"AAAAAD570wI=")</f>
        <v>#VALUE!</v>
      </c>
      <c r="D17" s="123" t="e">
        <f>AND(Versiones!S12,"AAAAAD570wM=")</f>
        <v>#VALUE!</v>
      </c>
      <c r="E17" s="123" t="e">
        <f>AND(Versiones!T12,"AAAAAD570wQ=")</f>
        <v>#VALUE!</v>
      </c>
      <c r="F17" s="123" t="e">
        <f>AND(Versiones!U12,"AAAAAD570wU=")</f>
        <v>#VALUE!</v>
      </c>
      <c r="G17" s="123" t="e">
        <f>AND(Versiones!V12,"AAAAAD570wY=")</f>
        <v>#VALUE!</v>
      </c>
      <c r="H17" s="123" t="e">
        <f>AND(Versiones!W12,"AAAAAD570wc=")</f>
        <v>#VALUE!</v>
      </c>
      <c r="I17" s="123" t="e">
        <f>AND(Versiones!X12,"AAAAAD570wg=")</f>
        <v>#VALUE!</v>
      </c>
      <c r="J17" s="123" t="e">
        <f>AND(Versiones!Y12,"AAAAAD570wk=")</f>
        <v>#VALUE!</v>
      </c>
      <c r="K17" s="123" t="e">
        <f>AND(Versiones!Z12,"AAAAAD570wo=")</f>
        <v>#VALUE!</v>
      </c>
      <c r="L17" s="123" t="e">
        <f>AND(Versiones!AA12,"AAAAAD570ws=")</f>
        <v>#VALUE!</v>
      </c>
      <c r="M17" s="123" t="e">
        <f>AND(Versiones!AB12,"AAAAAD570ww=")</f>
        <v>#VALUE!</v>
      </c>
      <c r="N17" s="123" t="e">
        <f>AND(Versiones!AC12,"AAAAAD570w0=")</f>
        <v>#VALUE!</v>
      </c>
      <c r="O17" s="123" t="e">
        <f>AND(Versiones!AD12,"AAAAAD570w4=")</f>
        <v>#VALUE!</v>
      </c>
      <c r="P17" s="123" t="e">
        <f>AND(Versiones!AE12,"AAAAAD570w8=")</f>
        <v>#VALUE!</v>
      </c>
      <c r="Q17" s="123" t="e">
        <f>AND(Versiones!AF12,"AAAAAD570xA=")</f>
        <v>#VALUE!</v>
      </c>
      <c r="R17" s="123" t="e">
        <f>AND(Versiones!AG12,"AAAAAD570xE=")</f>
        <v>#VALUE!</v>
      </c>
      <c r="S17" s="123" t="e">
        <f>AND(Versiones!AH12,"AAAAAD570xI=")</f>
        <v>#VALUE!</v>
      </c>
      <c r="T17" s="123" t="e">
        <f>AND(Versiones!AI12,"AAAAAD570xM=")</f>
        <v>#VALUE!</v>
      </c>
      <c r="U17" s="123" t="e">
        <f>AND(Versiones!AJ12,"AAAAAD570xQ=")</f>
        <v>#VALUE!</v>
      </c>
      <c r="V17" s="123" t="e">
        <f>AND(Versiones!AK12,"AAAAAD570xU=")</f>
        <v>#VALUE!</v>
      </c>
      <c r="W17" s="123" t="e">
        <f>AND(Versiones!AL12,"AAAAAD570xY=")</f>
        <v>#VALUE!</v>
      </c>
      <c r="X17" s="123" t="e">
        <f>AND(Versiones!AM12,"AAAAAD570xc=")</f>
        <v>#VALUE!</v>
      </c>
      <c r="Y17" s="123" t="e">
        <f>AND(Versiones!AN12,"AAAAAD570xg=")</f>
        <v>#VALUE!</v>
      </c>
      <c r="Z17" s="123" t="e">
        <f>AND(Versiones!AO12,"AAAAAD570xk=")</f>
        <v>#VALUE!</v>
      </c>
      <c r="AA17" s="123" t="e">
        <f>AND(Versiones!AP12,"AAAAAD570xo=")</f>
        <v>#VALUE!</v>
      </c>
      <c r="AB17" s="123" t="e">
        <f>AND(Versiones!AQ12,"AAAAAD570xs=")</f>
        <v>#VALUE!</v>
      </c>
      <c r="AC17" s="123" t="e">
        <f>AND(Versiones!AR12,"AAAAAD570xw=")</f>
        <v>#VALUE!</v>
      </c>
      <c r="AD17" s="123" t="e">
        <f>AND(Versiones!AS12,"AAAAAD570x0=")</f>
        <v>#VALUE!</v>
      </c>
      <c r="AE17" s="123" t="e">
        <f>AND(Versiones!AT12,"AAAAAD570x4=")</f>
        <v>#VALUE!</v>
      </c>
      <c r="AF17" s="123" t="e">
        <f>AND(Versiones!AU12,"AAAAAD570x8=")</f>
        <v>#VALUE!</v>
      </c>
      <c r="AG17" s="123" t="e">
        <f>AND(Versiones!AV12,"AAAAAD570yA=")</f>
        <v>#VALUE!</v>
      </c>
      <c r="AH17" s="123" t="e">
        <f>AND(Versiones!AW12,"AAAAAD570yE=")</f>
        <v>#VALUE!</v>
      </c>
      <c r="AI17" s="123" t="e">
        <f>AND(Versiones!AX12,"AAAAAD570yI=")</f>
        <v>#VALUE!</v>
      </c>
      <c r="AJ17" s="123" t="e">
        <f>AND(Versiones!AY12,"AAAAAD570yM=")</f>
        <v>#VALUE!</v>
      </c>
      <c r="AK17" s="123" t="e">
        <f>AND(Versiones!AZ12,"AAAAAD570yQ=")</f>
        <v>#VALUE!</v>
      </c>
      <c r="AL17" s="123" t="e">
        <f>AND(Versiones!BA12,"AAAAAD570yU=")</f>
        <v>#VALUE!</v>
      </c>
      <c r="AM17" s="123" t="e">
        <f>AND(Versiones!BB12,"AAAAAD570yY=")</f>
        <v>#VALUE!</v>
      </c>
      <c r="AN17" s="123" t="e">
        <f>AND(Versiones!BC12,"AAAAAD570yc=")</f>
        <v>#VALUE!</v>
      </c>
      <c r="AO17" s="123" t="e">
        <f>AND(Versiones!BD12,"AAAAAD570yg=")</f>
        <v>#VALUE!</v>
      </c>
      <c r="AP17" s="123" t="e">
        <f>AND(Versiones!BE12,"AAAAAD570yk=")</f>
        <v>#VALUE!</v>
      </c>
      <c r="AQ17" s="123" t="e">
        <f>AND(Versiones!BF12,"AAAAAD570yo=")</f>
        <v>#VALUE!</v>
      </c>
      <c r="AR17" s="123" t="e">
        <f>AND(Versiones!BG12,"AAAAAD570ys=")</f>
        <v>#VALUE!</v>
      </c>
      <c r="AS17" s="123" t="e">
        <f>AND(Versiones!BH12,"AAAAAD570yw=")</f>
        <v>#VALUE!</v>
      </c>
      <c r="AT17" s="123" t="e">
        <f>AND(Versiones!BI12,"AAAAAD570y0=")</f>
        <v>#VALUE!</v>
      </c>
      <c r="AU17" s="123" t="e">
        <f>AND(Versiones!BJ12,"AAAAAD570y4=")</f>
        <v>#VALUE!</v>
      </c>
      <c r="AV17" s="123" t="e">
        <f>AND(Versiones!BK12,"AAAAAD570y8=")</f>
        <v>#VALUE!</v>
      </c>
      <c r="AW17" s="123" t="e">
        <f>AND(Versiones!BL12,"AAAAAD570zA=")</f>
        <v>#VALUE!</v>
      </c>
      <c r="AX17" s="123" t="e">
        <f>AND(Versiones!BM12,"AAAAAD570zE=")</f>
        <v>#VALUE!</v>
      </c>
      <c r="AY17" s="123" t="e">
        <f>AND(Versiones!BN12,"AAAAAD570zI=")</f>
        <v>#VALUE!</v>
      </c>
      <c r="AZ17" s="123" t="e">
        <f>AND(Versiones!BO12,"AAAAAD570zM=")</f>
        <v>#VALUE!</v>
      </c>
      <c r="BA17" s="123" t="e">
        <f>AND(Versiones!BP12,"AAAAAD570zQ=")</f>
        <v>#VALUE!</v>
      </c>
      <c r="BB17" s="123" t="e">
        <f>AND(Versiones!BQ12,"AAAAAD570zU=")</f>
        <v>#VALUE!</v>
      </c>
      <c r="BC17" s="123" t="e">
        <f>AND(Versiones!BR12,"AAAAAD570zY=")</f>
        <v>#VALUE!</v>
      </c>
      <c r="BD17" s="123" t="e">
        <f>AND(Versiones!BS12,"AAAAAD570zc=")</f>
        <v>#VALUE!</v>
      </c>
      <c r="BE17" s="123" t="e">
        <f>AND(Versiones!BT12,"AAAAAD570zg=")</f>
        <v>#VALUE!</v>
      </c>
      <c r="BF17" s="123" t="e">
        <f>AND(Versiones!BU12,"AAAAAD570zk=")</f>
        <v>#VALUE!</v>
      </c>
      <c r="BG17" s="123" t="e">
        <f>AND(Versiones!BV12,"AAAAAD570zo=")</f>
        <v>#VALUE!</v>
      </c>
      <c r="BH17" s="123" t="e">
        <f>AND(Versiones!BW12,"AAAAAD570zs=")</f>
        <v>#VALUE!</v>
      </c>
      <c r="BI17" s="123" t="e">
        <f>AND(Versiones!BX12,"AAAAAD570zw=")</f>
        <v>#VALUE!</v>
      </c>
      <c r="BJ17" s="123" t="e">
        <f>AND(Versiones!BY12,"AAAAAD570z0=")</f>
        <v>#VALUE!</v>
      </c>
      <c r="BK17" s="123" t="e">
        <f>AND(Versiones!BZ12,"AAAAAD570z4=")</f>
        <v>#VALUE!</v>
      </c>
      <c r="BL17" s="123" t="e">
        <f>AND(Versiones!CA12,"AAAAAD570z8=")</f>
        <v>#VALUE!</v>
      </c>
      <c r="BM17" s="123" t="e">
        <f>AND(Versiones!CB12,"AAAAAD5700A=")</f>
        <v>#VALUE!</v>
      </c>
      <c r="BN17" s="123" t="e">
        <f>AND(Versiones!CC12,"AAAAAD5700E=")</f>
        <v>#VALUE!</v>
      </c>
      <c r="BO17" s="123" t="e">
        <f>AND(Versiones!CD12,"AAAAAD5700I=")</f>
        <v>#VALUE!</v>
      </c>
      <c r="BP17" s="123" t="e">
        <f>AND(Versiones!CE12,"AAAAAD5700M=")</f>
        <v>#VALUE!</v>
      </c>
      <c r="BQ17" s="123" t="e">
        <f>AND(Versiones!CF12,"AAAAAD5700Q=")</f>
        <v>#VALUE!</v>
      </c>
      <c r="BR17" s="123" t="e">
        <f>AND(Versiones!CG12,"AAAAAD5700U=")</f>
        <v>#VALUE!</v>
      </c>
      <c r="BS17" s="123" t="e">
        <f>AND(Versiones!CH12,"AAAAAD5700Y=")</f>
        <v>#VALUE!</v>
      </c>
      <c r="BT17" s="123" t="e">
        <f>AND(Versiones!CI12,"AAAAAD5700c=")</f>
        <v>#VALUE!</v>
      </c>
      <c r="BU17" s="123" t="e">
        <f>AND(Versiones!CJ12,"AAAAAD5700g=")</f>
        <v>#VALUE!</v>
      </c>
      <c r="BV17" s="123" t="e">
        <f>AND(Versiones!CK12,"AAAAAD5700k=")</f>
        <v>#VALUE!</v>
      </c>
      <c r="BW17" s="123" t="e">
        <f>AND(Versiones!CL12,"AAAAAD5700o=")</f>
        <v>#VALUE!</v>
      </c>
      <c r="BX17" s="123" t="e">
        <f>AND(Versiones!CM12,"AAAAAD5700s=")</f>
        <v>#VALUE!</v>
      </c>
      <c r="BY17" s="123" t="e">
        <f>AND(Versiones!CN12,"AAAAAD5700w=")</f>
        <v>#VALUE!</v>
      </c>
      <c r="BZ17" s="123" t="e">
        <f>AND(Versiones!CO12,"AAAAAD57000=")</f>
        <v>#VALUE!</v>
      </c>
      <c r="CA17" s="123" t="e">
        <f>AND(Versiones!CP12,"AAAAAD57004=")</f>
        <v>#VALUE!</v>
      </c>
      <c r="CB17" s="123" t="e">
        <f>AND(Versiones!CQ12,"AAAAAD57008=")</f>
        <v>#VALUE!</v>
      </c>
      <c r="CC17" s="123" t="e">
        <f>AND(Versiones!CR12,"AAAAAD5701A=")</f>
        <v>#VALUE!</v>
      </c>
      <c r="CD17" s="123" t="e">
        <f>AND(Versiones!CS12,"AAAAAD5701E=")</f>
        <v>#VALUE!</v>
      </c>
      <c r="CE17" s="123" t="e">
        <f>AND(Versiones!CT12,"AAAAAD5701I=")</f>
        <v>#VALUE!</v>
      </c>
      <c r="CF17" s="123" t="e">
        <f>AND(Versiones!CU12,"AAAAAD5701M=")</f>
        <v>#VALUE!</v>
      </c>
      <c r="CG17" s="123" t="e">
        <f>AND(Versiones!CV12,"AAAAAD5701Q=")</f>
        <v>#VALUE!</v>
      </c>
      <c r="CH17" s="123" t="e">
        <f>AND(Versiones!CW12,"AAAAAD5701U=")</f>
        <v>#VALUE!</v>
      </c>
      <c r="CI17" s="123" t="e">
        <f>AND(Versiones!CX12,"AAAAAD5701Y=")</f>
        <v>#VALUE!</v>
      </c>
      <c r="CJ17" s="123" t="e">
        <f>AND(Versiones!CY12,"AAAAAD5701c=")</f>
        <v>#VALUE!</v>
      </c>
      <c r="CK17" s="123" t="e">
        <f>AND(Versiones!CZ12,"AAAAAD5701g=")</f>
        <v>#VALUE!</v>
      </c>
      <c r="CL17" s="123" t="e">
        <f>AND(Versiones!DA12,"AAAAAD5701k=")</f>
        <v>#VALUE!</v>
      </c>
      <c r="CM17" s="123" t="e">
        <f>AND(Versiones!DB12,"AAAAAD5701o=")</f>
        <v>#VALUE!</v>
      </c>
      <c r="CN17" s="123" t="e">
        <f>AND(Versiones!DC12,"AAAAAD5701s=")</f>
        <v>#VALUE!</v>
      </c>
      <c r="CO17" s="123" t="e">
        <f>AND(Versiones!DD12,"AAAAAD5701w=")</f>
        <v>#VALUE!</v>
      </c>
      <c r="CP17" s="123" t="e">
        <f>AND(Versiones!DE12,"AAAAAD57010=")</f>
        <v>#VALUE!</v>
      </c>
      <c r="CQ17" s="123" t="e">
        <f>AND(Versiones!DF12,"AAAAAD57014=")</f>
        <v>#VALUE!</v>
      </c>
      <c r="CR17" s="123" t="e">
        <f>AND(Versiones!DG12,"AAAAAD57018=")</f>
        <v>#VALUE!</v>
      </c>
      <c r="CS17" s="123" t="e">
        <f>AND(Versiones!DH12,"AAAAAD5702A=")</f>
        <v>#VALUE!</v>
      </c>
      <c r="CT17" s="123" t="e">
        <f>AND(Versiones!DI12,"AAAAAD5702E=")</f>
        <v>#VALUE!</v>
      </c>
      <c r="CU17" s="123" t="e">
        <f>AND(Versiones!DJ12,"AAAAAD5702I=")</f>
        <v>#VALUE!</v>
      </c>
      <c r="CV17" s="123" t="e">
        <f>AND(Versiones!DK12,"AAAAAD5702M=")</f>
        <v>#VALUE!</v>
      </c>
      <c r="CW17" s="123" t="e">
        <f>AND(Versiones!DL12,"AAAAAD5702Q=")</f>
        <v>#VALUE!</v>
      </c>
      <c r="CX17" s="123" t="e">
        <f>AND(Versiones!DM12,"AAAAAD5702U=")</f>
        <v>#VALUE!</v>
      </c>
      <c r="CY17" s="123" t="e">
        <f>AND(Versiones!DN12,"AAAAAD5702Y=")</f>
        <v>#VALUE!</v>
      </c>
      <c r="CZ17" s="123" t="e">
        <f>AND(Versiones!DO12,"AAAAAD5702c=")</f>
        <v>#VALUE!</v>
      </c>
      <c r="DA17" s="123" t="e">
        <f>AND(Versiones!DP12,"AAAAAD5702g=")</f>
        <v>#VALUE!</v>
      </c>
      <c r="DB17" s="123" t="e">
        <f>AND(Versiones!DQ12,"AAAAAD5702k=")</f>
        <v>#VALUE!</v>
      </c>
      <c r="DC17" s="123" t="e">
        <f>AND(Versiones!DR12,"AAAAAD5702o=")</f>
        <v>#VALUE!</v>
      </c>
      <c r="DD17" s="123" t="e">
        <f>AND(Versiones!DS12,"AAAAAD5702s=")</f>
        <v>#VALUE!</v>
      </c>
      <c r="DE17" s="123" t="e">
        <f>AND(Versiones!DT12,"AAAAAD5702w=")</f>
        <v>#VALUE!</v>
      </c>
      <c r="DF17" s="123" t="e">
        <f>AND(Versiones!DU12,"AAAAAD57020=")</f>
        <v>#VALUE!</v>
      </c>
      <c r="DG17" s="123" t="e">
        <f>AND(Versiones!DV12,"AAAAAD57024=")</f>
        <v>#VALUE!</v>
      </c>
      <c r="DH17" s="123" t="e">
        <f>AND(Versiones!DW12,"AAAAAD57028=")</f>
        <v>#VALUE!</v>
      </c>
      <c r="DI17" s="123" t="e">
        <f>AND(Versiones!DX12,"AAAAAD5703A=")</f>
        <v>#VALUE!</v>
      </c>
      <c r="DJ17" s="123" t="e">
        <f>AND(Versiones!DY12,"AAAAAD5703E=")</f>
        <v>#VALUE!</v>
      </c>
      <c r="DK17" s="123" t="e">
        <f>AND(Versiones!DZ12,"AAAAAD5703I=")</f>
        <v>#VALUE!</v>
      </c>
      <c r="DL17" s="123" t="e">
        <f>AND(Versiones!EA12,"AAAAAD5703M=")</f>
        <v>#VALUE!</v>
      </c>
      <c r="DM17" s="123" t="e">
        <f>AND(Versiones!EB12,"AAAAAD5703Q=")</f>
        <v>#VALUE!</v>
      </c>
      <c r="DN17" s="123" t="e">
        <f>AND(Versiones!EC12,"AAAAAD5703U=")</f>
        <v>#VALUE!</v>
      </c>
      <c r="DO17" s="123" t="e">
        <f>AND(Versiones!ED12,"AAAAAD5703Y=")</f>
        <v>#VALUE!</v>
      </c>
      <c r="DP17" s="123" t="e">
        <f>AND(Versiones!EE12,"AAAAAD5703c=")</f>
        <v>#VALUE!</v>
      </c>
      <c r="DQ17" s="123" t="e">
        <f>AND(Versiones!EF12,"AAAAAD5703g=")</f>
        <v>#VALUE!</v>
      </c>
      <c r="DR17" s="123" t="e">
        <f>AND(Versiones!EG12,"AAAAAD5703k=")</f>
        <v>#VALUE!</v>
      </c>
      <c r="DS17" s="123" t="e">
        <f>AND(Versiones!EH12,"AAAAAD5703o=")</f>
        <v>#VALUE!</v>
      </c>
      <c r="DT17" s="123" t="e">
        <f>AND(Versiones!EI12,"AAAAAD5703s=")</f>
        <v>#VALUE!</v>
      </c>
      <c r="DU17" s="123" t="e">
        <f>AND(Versiones!EJ12,"AAAAAD5703w=")</f>
        <v>#VALUE!</v>
      </c>
      <c r="DV17" s="123" t="e">
        <f>AND(Versiones!EK12,"AAAAAD57030=")</f>
        <v>#VALUE!</v>
      </c>
      <c r="DW17" s="123" t="e">
        <f>AND(Versiones!EL12,"AAAAAD57034=")</f>
        <v>#VALUE!</v>
      </c>
      <c r="DX17" s="123" t="e">
        <f>AND(Versiones!EM12,"AAAAAD57038=")</f>
        <v>#VALUE!</v>
      </c>
      <c r="DY17" s="123" t="e">
        <f>AND(Versiones!EN12,"AAAAAD5704A=")</f>
        <v>#VALUE!</v>
      </c>
      <c r="DZ17" s="123" t="e">
        <f>AND(Versiones!EO12,"AAAAAD5704E=")</f>
        <v>#VALUE!</v>
      </c>
      <c r="EA17" s="123" t="e">
        <f>AND(Versiones!EP12,"AAAAAD5704I=")</f>
        <v>#VALUE!</v>
      </c>
      <c r="EB17" s="123" t="e">
        <f>AND(Versiones!EQ12,"AAAAAD5704M=")</f>
        <v>#VALUE!</v>
      </c>
      <c r="EC17" s="123" t="e">
        <f>AND(Versiones!ER12,"AAAAAD5704Q=")</f>
        <v>#VALUE!</v>
      </c>
      <c r="ED17" s="123" t="e">
        <f>AND(Versiones!ES12,"AAAAAD5704U=")</f>
        <v>#VALUE!</v>
      </c>
      <c r="EE17" s="123" t="e">
        <f>AND(Versiones!ET12,"AAAAAD5704Y=")</f>
        <v>#VALUE!</v>
      </c>
      <c r="EF17" s="123" t="e">
        <f>AND(Versiones!EU12,"AAAAAD5704c=")</f>
        <v>#VALUE!</v>
      </c>
      <c r="EG17" s="123" t="e">
        <f>AND(Versiones!EV12,"AAAAAD5704g=")</f>
        <v>#VALUE!</v>
      </c>
      <c r="EH17" s="123" t="e">
        <f>AND(Versiones!EW12,"AAAAAD5704k=")</f>
        <v>#VALUE!</v>
      </c>
      <c r="EI17" s="123" t="e">
        <f>AND(Versiones!EX12,"AAAAAD5704o=")</f>
        <v>#VALUE!</v>
      </c>
      <c r="EJ17" s="123" t="e">
        <f>AND(Versiones!EY12,"AAAAAD5704s=")</f>
        <v>#VALUE!</v>
      </c>
      <c r="EK17" s="123" t="e">
        <f>AND(Versiones!EZ12,"AAAAAD5704w=")</f>
        <v>#VALUE!</v>
      </c>
      <c r="EL17" s="123" t="e">
        <f>AND(Versiones!FA12,"AAAAAD57040=")</f>
        <v>#VALUE!</v>
      </c>
      <c r="EM17" s="123" t="e">
        <f>AND(Versiones!FB12,"AAAAAD57044=")</f>
        <v>#VALUE!</v>
      </c>
      <c r="EN17" s="123" t="e">
        <f>AND(Versiones!FC12,"AAAAAD57048=")</f>
        <v>#VALUE!</v>
      </c>
      <c r="EO17" s="123" t="e">
        <f>AND(Versiones!FD12,"AAAAAD5705A=")</f>
        <v>#VALUE!</v>
      </c>
      <c r="EP17" s="123" t="e">
        <f>AND(Versiones!FE12,"AAAAAD5705E=")</f>
        <v>#VALUE!</v>
      </c>
      <c r="EQ17" s="123" t="e">
        <f>AND(Versiones!FF12,"AAAAAD5705I=")</f>
        <v>#VALUE!</v>
      </c>
      <c r="ER17" s="123" t="e">
        <f>AND(Versiones!FG12,"AAAAAD5705M=")</f>
        <v>#VALUE!</v>
      </c>
      <c r="ES17" s="123" t="e">
        <f>AND(Versiones!FH12,"AAAAAD5705Q=")</f>
        <v>#VALUE!</v>
      </c>
      <c r="ET17" s="123" t="e">
        <f>AND(Versiones!FI12,"AAAAAD5705U=")</f>
        <v>#VALUE!</v>
      </c>
      <c r="EU17" s="123" t="e">
        <f>AND(Versiones!FJ12,"AAAAAD5705Y=")</f>
        <v>#VALUE!</v>
      </c>
      <c r="EV17" s="123" t="e">
        <f>AND(Versiones!FK12,"AAAAAD5705c=")</f>
        <v>#VALUE!</v>
      </c>
      <c r="EW17" s="123" t="e">
        <f>AND(Versiones!FL12,"AAAAAD5705g=")</f>
        <v>#VALUE!</v>
      </c>
      <c r="EX17" s="123" t="e">
        <f>AND(Versiones!FM12,"AAAAAD5705k=")</f>
        <v>#VALUE!</v>
      </c>
      <c r="EY17" s="123" t="e">
        <f>AND(Versiones!FN12,"AAAAAD5705o=")</f>
        <v>#VALUE!</v>
      </c>
      <c r="EZ17" s="123" t="e">
        <f>AND(Versiones!FO12,"AAAAAD5705s=")</f>
        <v>#VALUE!</v>
      </c>
      <c r="FA17" s="123" t="e">
        <f>AND(Versiones!FP12,"AAAAAD5705w=")</f>
        <v>#VALUE!</v>
      </c>
      <c r="FB17" s="123" t="e">
        <f>AND(Versiones!FQ12,"AAAAAD57050=")</f>
        <v>#VALUE!</v>
      </c>
      <c r="FC17" s="123" t="e">
        <f>AND(Versiones!FR12,"AAAAAD57054=")</f>
        <v>#VALUE!</v>
      </c>
      <c r="FD17" s="123" t="e">
        <f>AND(Versiones!FS12,"AAAAAD57058=")</f>
        <v>#VALUE!</v>
      </c>
      <c r="FE17" s="123" t="e">
        <f>AND(Versiones!FT12,"AAAAAD5706A=")</f>
        <v>#VALUE!</v>
      </c>
      <c r="FF17" s="123" t="e">
        <f>AND(Versiones!FU12,"AAAAAD5706E=")</f>
        <v>#VALUE!</v>
      </c>
      <c r="FG17" s="123" t="e">
        <f>AND(Versiones!FV12,"AAAAAD5706I=")</f>
        <v>#VALUE!</v>
      </c>
      <c r="FH17" s="123" t="e">
        <f>AND(Versiones!FW12,"AAAAAD5706M=")</f>
        <v>#VALUE!</v>
      </c>
      <c r="FI17" s="123" t="e">
        <f>AND(Versiones!FX12,"AAAAAD5706Q=")</f>
        <v>#VALUE!</v>
      </c>
      <c r="FJ17" s="123" t="e">
        <f>AND(Versiones!FY12,"AAAAAD5706U=")</f>
        <v>#VALUE!</v>
      </c>
      <c r="FK17" s="123" t="e">
        <f>AND(Versiones!FZ12,"AAAAAD5706Y=")</f>
        <v>#VALUE!</v>
      </c>
      <c r="FL17" s="123" t="e">
        <f>AND(Versiones!GA12,"AAAAAD5706c=")</f>
        <v>#VALUE!</v>
      </c>
      <c r="FM17" s="123" t="e">
        <f>AND(Versiones!GB12,"AAAAAD5706g=")</f>
        <v>#VALUE!</v>
      </c>
      <c r="FN17" s="123" t="e">
        <f>AND(Versiones!GC12,"AAAAAD5706k=")</f>
        <v>#VALUE!</v>
      </c>
      <c r="FO17" s="123" t="e">
        <f>AND(Versiones!GD12,"AAAAAD5706o=")</f>
        <v>#VALUE!</v>
      </c>
      <c r="FP17" s="123" t="e">
        <f>AND(Versiones!GE12,"AAAAAD5706s=")</f>
        <v>#VALUE!</v>
      </c>
      <c r="FQ17" s="123" t="e">
        <f>AND(Versiones!GF12,"AAAAAD5706w=")</f>
        <v>#VALUE!</v>
      </c>
      <c r="FR17" s="123" t="e">
        <f>AND(Versiones!GG12,"AAAAAD57060=")</f>
        <v>#VALUE!</v>
      </c>
      <c r="FS17" s="123" t="e">
        <f>AND(Versiones!GH12,"AAAAAD57064=")</f>
        <v>#VALUE!</v>
      </c>
      <c r="FT17" s="123" t="e">
        <f>AND(Versiones!GI12,"AAAAAD57068=")</f>
        <v>#VALUE!</v>
      </c>
      <c r="FU17" s="123" t="e">
        <f>AND(Versiones!GJ12,"AAAAAD5707A=")</f>
        <v>#VALUE!</v>
      </c>
      <c r="FV17" s="123" t="e">
        <f>AND(Versiones!GK12,"AAAAAD5707E=")</f>
        <v>#VALUE!</v>
      </c>
      <c r="FW17" s="123" t="e">
        <f>AND(Versiones!GL12,"AAAAAD5707I=")</f>
        <v>#VALUE!</v>
      </c>
      <c r="FX17" s="123" t="e">
        <f>AND(Versiones!GM12,"AAAAAD5707M=")</f>
        <v>#VALUE!</v>
      </c>
      <c r="FY17" s="123" t="e">
        <f>AND(Versiones!GN12,"AAAAAD5707Q=")</f>
        <v>#VALUE!</v>
      </c>
      <c r="FZ17" s="123" t="e">
        <f>AND(Versiones!GO12,"AAAAAD5707U=")</f>
        <v>#VALUE!</v>
      </c>
      <c r="GA17" s="123" t="e">
        <f>AND(Versiones!GP12,"AAAAAD5707Y=")</f>
        <v>#VALUE!</v>
      </c>
      <c r="GB17" s="123" t="e">
        <f>AND(Versiones!GQ12,"AAAAAD5707c=")</f>
        <v>#VALUE!</v>
      </c>
      <c r="GC17" s="123" t="e">
        <f>AND(Versiones!GR12,"AAAAAD5707g=")</f>
        <v>#VALUE!</v>
      </c>
      <c r="GD17" s="123" t="e">
        <f>AND(Versiones!GS12,"AAAAAD5707k=")</f>
        <v>#VALUE!</v>
      </c>
      <c r="GE17" s="123" t="e">
        <f>AND(Versiones!GT12,"AAAAAD5707o=")</f>
        <v>#VALUE!</v>
      </c>
      <c r="GF17" s="123" t="e">
        <f>AND(Versiones!GU12,"AAAAAD5707s=")</f>
        <v>#VALUE!</v>
      </c>
      <c r="GG17" s="123" t="e">
        <f>AND(Versiones!GV12,"AAAAAD5707w=")</f>
        <v>#VALUE!</v>
      </c>
      <c r="GH17" s="123" t="e">
        <f>AND(Versiones!GW12,"AAAAAD57070=")</f>
        <v>#VALUE!</v>
      </c>
      <c r="GI17" s="123" t="e">
        <f>AND(Versiones!GX12,"AAAAAD57074=")</f>
        <v>#VALUE!</v>
      </c>
      <c r="GJ17" s="123" t="e">
        <f>AND(Versiones!GY12,"AAAAAD57078=")</f>
        <v>#VALUE!</v>
      </c>
      <c r="GK17" s="123" t="e">
        <f>AND(Versiones!GZ12,"AAAAAD5708A=")</f>
        <v>#VALUE!</v>
      </c>
      <c r="GL17" s="123" t="e">
        <f>AND(Versiones!HA12,"AAAAAD5708E=")</f>
        <v>#VALUE!</v>
      </c>
      <c r="GM17" s="123" t="e">
        <f>AND(Versiones!HB12,"AAAAAD5708I=")</f>
        <v>#VALUE!</v>
      </c>
      <c r="GN17" s="123" t="e">
        <f>AND(Versiones!HC12,"AAAAAD5708M=")</f>
        <v>#VALUE!</v>
      </c>
      <c r="GO17" s="123" t="e">
        <f>AND(Versiones!HD12,"AAAAAD5708Q=")</f>
        <v>#VALUE!</v>
      </c>
      <c r="GP17" s="123" t="e">
        <f>AND(Versiones!HE12,"AAAAAD5708U=")</f>
        <v>#VALUE!</v>
      </c>
      <c r="GQ17" s="123" t="e">
        <f>AND(Versiones!HF12,"AAAAAD5708Y=")</f>
        <v>#VALUE!</v>
      </c>
      <c r="GR17" s="123" t="e">
        <f>AND(Versiones!HG12,"AAAAAD5708c=")</f>
        <v>#VALUE!</v>
      </c>
      <c r="GS17" s="123" t="e">
        <f>AND(Versiones!HH12,"AAAAAD5708g=")</f>
        <v>#VALUE!</v>
      </c>
      <c r="GT17" s="123" t="e">
        <f>AND(Versiones!HI12,"AAAAAD5708k=")</f>
        <v>#VALUE!</v>
      </c>
      <c r="GU17" s="123">
        <f>IF(Versiones!13:13,"AAAAAD5708o=",0)</f>
        <v>0</v>
      </c>
      <c r="GV17" s="123" t="e">
        <f>AND(Versiones!A13,"AAAAAD5708s=")</f>
        <v>#VALUE!</v>
      </c>
      <c r="GW17" s="123" t="e">
        <f>AND(Versiones!B13,"AAAAAD5708w=")</f>
        <v>#VALUE!</v>
      </c>
      <c r="GX17" s="123" t="e">
        <f>AND(Versiones!C13,"AAAAAD57080=")</f>
        <v>#VALUE!</v>
      </c>
      <c r="GY17" s="123" t="e">
        <f>AND(Versiones!D13,"AAAAAD57084=")</f>
        <v>#VALUE!</v>
      </c>
      <c r="GZ17" s="123" t="e">
        <f>AND(Versiones!E13,"AAAAAD57088=")</f>
        <v>#VALUE!</v>
      </c>
      <c r="HA17" s="123" t="e">
        <f>AND(Versiones!F13,"AAAAAD5709A=")</f>
        <v>#VALUE!</v>
      </c>
      <c r="HB17" s="123" t="e">
        <f>AND(Versiones!#REF!,"AAAAAD5709E=")</f>
        <v>#REF!</v>
      </c>
      <c r="HC17" s="123" t="e">
        <f>AND(Versiones!G13,"AAAAAD5709I=")</f>
        <v>#VALUE!</v>
      </c>
      <c r="HD17" s="123" t="e">
        <f>AND(Versiones!H13,"AAAAAD5709M=")</f>
        <v>#VALUE!</v>
      </c>
      <c r="HE17" s="123" t="e">
        <f>AND(Versiones!I13,"AAAAAD5709Q=")</f>
        <v>#VALUE!</v>
      </c>
      <c r="HF17" s="123" t="e">
        <f>AND(Versiones!J13,"AAAAAD5709U=")</f>
        <v>#VALUE!</v>
      </c>
      <c r="HG17" s="123" t="e">
        <f>AND(Versiones!K13,"AAAAAD5709Y=")</f>
        <v>#VALUE!</v>
      </c>
      <c r="HH17" s="123" t="e">
        <f>AND(Versiones!L13,"AAAAAD5709c=")</f>
        <v>#VALUE!</v>
      </c>
      <c r="HI17" s="123" t="e">
        <f>AND(Versiones!M13,"AAAAAD5709g=")</f>
        <v>#VALUE!</v>
      </c>
      <c r="HJ17" s="123" t="e">
        <f>AND(Versiones!N13,"AAAAAD5709k=")</f>
        <v>#VALUE!</v>
      </c>
      <c r="HK17" s="123" t="e">
        <f>AND(Versiones!O13,"AAAAAD5709o=")</f>
        <v>#VALUE!</v>
      </c>
      <c r="HL17" s="123" t="e">
        <f>AND(Versiones!P13,"AAAAAD5709s=")</f>
        <v>#VALUE!</v>
      </c>
      <c r="HM17" s="123" t="e">
        <f>AND(Versiones!Q13,"AAAAAD5709w=")</f>
        <v>#VALUE!</v>
      </c>
      <c r="HN17" s="123" t="e">
        <f>AND(Versiones!R13,"AAAAAD57090=")</f>
        <v>#VALUE!</v>
      </c>
      <c r="HO17" s="123" t="e">
        <f>AND(Versiones!S13,"AAAAAD57094=")</f>
        <v>#VALUE!</v>
      </c>
      <c r="HP17" s="123" t="e">
        <f>AND(Versiones!T13,"AAAAAD57098=")</f>
        <v>#VALUE!</v>
      </c>
      <c r="HQ17" s="123" t="e">
        <f>AND(Versiones!U13,"AAAAAD570+A=")</f>
        <v>#VALUE!</v>
      </c>
      <c r="HR17" s="123" t="e">
        <f>AND(Versiones!V13,"AAAAAD570+E=")</f>
        <v>#VALUE!</v>
      </c>
      <c r="HS17" s="123" t="e">
        <f>AND(Versiones!W13,"AAAAAD570+I=")</f>
        <v>#VALUE!</v>
      </c>
      <c r="HT17" s="123" t="e">
        <f>AND(Versiones!X13,"AAAAAD570+M=")</f>
        <v>#VALUE!</v>
      </c>
      <c r="HU17" s="123" t="e">
        <f>AND(Versiones!Y13,"AAAAAD570+Q=")</f>
        <v>#VALUE!</v>
      </c>
      <c r="HV17" s="123" t="e">
        <f>AND(Versiones!Z13,"AAAAAD570+U=")</f>
        <v>#VALUE!</v>
      </c>
      <c r="HW17" s="123" t="e">
        <f>AND(Versiones!AA13,"AAAAAD570+Y=")</f>
        <v>#VALUE!</v>
      </c>
      <c r="HX17" s="123" t="e">
        <f>AND(Versiones!AB13,"AAAAAD570+c=")</f>
        <v>#VALUE!</v>
      </c>
      <c r="HY17" s="123" t="e">
        <f>AND(Versiones!AC13,"AAAAAD570+g=")</f>
        <v>#VALUE!</v>
      </c>
      <c r="HZ17" s="123" t="e">
        <f>AND(Versiones!AD13,"AAAAAD570+k=")</f>
        <v>#VALUE!</v>
      </c>
      <c r="IA17" s="123" t="e">
        <f>AND(Versiones!AE13,"AAAAAD570+o=")</f>
        <v>#VALUE!</v>
      </c>
      <c r="IB17" s="123" t="e">
        <f>AND(Versiones!AF13,"AAAAAD570+s=")</f>
        <v>#VALUE!</v>
      </c>
      <c r="IC17" s="123" t="e">
        <f>AND(Versiones!AG13,"AAAAAD570+w=")</f>
        <v>#VALUE!</v>
      </c>
      <c r="ID17" s="123" t="e">
        <f>AND(Versiones!AH13,"AAAAAD570+0=")</f>
        <v>#VALUE!</v>
      </c>
      <c r="IE17" s="123" t="e">
        <f>AND(Versiones!AI13,"AAAAAD570+4=")</f>
        <v>#VALUE!</v>
      </c>
      <c r="IF17" s="123" t="e">
        <f>AND(Versiones!AJ13,"AAAAAD570+8=")</f>
        <v>#VALUE!</v>
      </c>
      <c r="IG17" s="123" t="e">
        <f>AND(Versiones!AK13,"AAAAAD570/A=")</f>
        <v>#VALUE!</v>
      </c>
      <c r="IH17" s="123" t="e">
        <f>AND(Versiones!AL13,"AAAAAD570/E=")</f>
        <v>#VALUE!</v>
      </c>
      <c r="II17" s="123" t="e">
        <f>AND(Versiones!AM13,"AAAAAD570/I=")</f>
        <v>#VALUE!</v>
      </c>
      <c r="IJ17" s="123" t="e">
        <f>AND(Versiones!AN13,"AAAAAD570/M=")</f>
        <v>#VALUE!</v>
      </c>
      <c r="IK17" s="123" t="e">
        <f>AND(Versiones!AO13,"AAAAAD570/Q=")</f>
        <v>#VALUE!</v>
      </c>
      <c r="IL17" s="123" t="e">
        <f>AND(Versiones!AP13,"AAAAAD570/U=")</f>
        <v>#VALUE!</v>
      </c>
      <c r="IM17" s="123" t="e">
        <f>AND(Versiones!AQ13,"AAAAAD570/Y=")</f>
        <v>#VALUE!</v>
      </c>
      <c r="IN17" s="123" t="e">
        <f>AND(Versiones!AR13,"AAAAAD570/c=")</f>
        <v>#VALUE!</v>
      </c>
      <c r="IO17" s="123" t="e">
        <f>AND(Versiones!AS13,"AAAAAD570/g=")</f>
        <v>#VALUE!</v>
      </c>
      <c r="IP17" s="123" t="e">
        <f>AND(Versiones!AT13,"AAAAAD570/k=")</f>
        <v>#VALUE!</v>
      </c>
      <c r="IQ17" s="123" t="e">
        <f>AND(Versiones!AU13,"AAAAAD570/o=")</f>
        <v>#VALUE!</v>
      </c>
      <c r="IR17" s="123" t="e">
        <f>AND(Versiones!AV13,"AAAAAD570/s=")</f>
        <v>#VALUE!</v>
      </c>
      <c r="IS17" s="123" t="e">
        <f>AND(Versiones!AW13,"AAAAAD570/w=")</f>
        <v>#VALUE!</v>
      </c>
      <c r="IT17" s="123" t="e">
        <f>AND(Versiones!AX13,"AAAAAD570/0=")</f>
        <v>#VALUE!</v>
      </c>
      <c r="IU17" s="123" t="e">
        <f>AND(Versiones!AY13,"AAAAAD570/4=")</f>
        <v>#VALUE!</v>
      </c>
      <c r="IV17" s="123" t="e">
        <f>AND(Versiones!AZ13,"AAAAAD570/8=")</f>
        <v>#VALUE!</v>
      </c>
    </row>
    <row r="18" spans="1:256" ht="14.4">
      <c r="A18" s="123" t="e">
        <f>AND(Versiones!BA13,"AAAAAG+8+QA=")</f>
        <v>#VALUE!</v>
      </c>
      <c r="B18" s="123" t="e">
        <f>AND(Versiones!BB13,"AAAAAG+8+QE=")</f>
        <v>#VALUE!</v>
      </c>
      <c r="C18" s="123" t="e">
        <f>AND(Versiones!BC13,"AAAAAG+8+QI=")</f>
        <v>#VALUE!</v>
      </c>
      <c r="D18" s="123" t="e">
        <f>AND(Versiones!BD13,"AAAAAG+8+QM=")</f>
        <v>#VALUE!</v>
      </c>
      <c r="E18" s="123" t="e">
        <f>AND(Versiones!BE13,"AAAAAG+8+QQ=")</f>
        <v>#VALUE!</v>
      </c>
      <c r="F18" s="123" t="e">
        <f>AND(Versiones!BF13,"AAAAAG+8+QU=")</f>
        <v>#VALUE!</v>
      </c>
      <c r="G18" s="123" t="e">
        <f>AND(Versiones!BG13,"AAAAAG+8+QY=")</f>
        <v>#VALUE!</v>
      </c>
      <c r="H18" s="123" t="e">
        <f>AND(Versiones!BH13,"AAAAAG+8+Qc=")</f>
        <v>#VALUE!</v>
      </c>
      <c r="I18" s="123" t="e">
        <f>AND(Versiones!BI13,"AAAAAG+8+Qg=")</f>
        <v>#VALUE!</v>
      </c>
      <c r="J18" s="123" t="e">
        <f>AND(Versiones!BJ13,"AAAAAG+8+Qk=")</f>
        <v>#VALUE!</v>
      </c>
      <c r="K18" s="123" t="e">
        <f>AND(Versiones!BK13,"AAAAAG+8+Qo=")</f>
        <v>#VALUE!</v>
      </c>
      <c r="L18" s="123" t="e">
        <f>AND(Versiones!BL13,"AAAAAG+8+Qs=")</f>
        <v>#VALUE!</v>
      </c>
      <c r="M18" s="123" t="e">
        <f>AND(Versiones!BM13,"AAAAAG+8+Qw=")</f>
        <v>#VALUE!</v>
      </c>
      <c r="N18" s="123" t="e">
        <f>AND(Versiones!BN13,"AAAAAG+8+Q0=")</f>
        <v>#VALUE!</v>
      </c>
      <c r="O18" s="123" t="e">
        <f>AND(Versiones!BO13,"AAAAAG+8+Q4=")</f>
        <v>#VALUE!</v>
      </c>
      <c r="P18" s="123" t="e">
        <f>AND(Versiones!BP13,"AAAAAG+8+Q8=")</f>
        <v>#VALUE!</v>
      </c>
      <c r="Q18" s="123" t="e">
        <f>AND(Versiones!BQ13,"AAAAAG+8+RA=")</f>
        <v>#VALUE!</v>
      </c>
      <c r="R18" s="123" t="e">
        <f>AND(Versiones!BR13,"AAAAAG+8+RE=")</f>
        <v>#VALUE!</v>
      </c>
      <c r="S18" s="123" t="e">
        <f>AND(Versiones!BS13,"AAAAAG+8+RI=")</f>
        <v>#VALUE!</v>
      </c>
      <c r="T18" s="123" t="e">
        <f>AND(Versiones!BT13,"AAAAAG+8+RM=")</f>
        <v>#VALUE!</v>
      </c>
      <c r="U18" s="123" t="e">
        <f>AND(Versiones!BU13,"AAAAAG+8+RQ=")</f>
        <v>#VALUE!</v>
      </c>
      <c r="V18" s="123" t="e">
        <f>AND(Versiones!BV13,"AAAAAG+8+RU=")</f>
        <v>#VALUE!</v>
      </c>
      <c r="W18" s="123" t="e">
        <f>AND(Versiones!BW13,"AAAAAG+8+RY=")</f>
        <v>#VALUE!</v>
      </c>
      <c r="X18" s="123" t="e">
        <f>AND(Versiones!BX13,"AAAAAG+8+Rc=")</f>
        <v>#VALUE!</v>
      </c>
      <c r="Y18" s="123" t="e">
        <f>AND(Versiones!BY13,"AAAAAG+8+Rg=")</f>
        <v>#VALUE!</v>
      </c>
      <c r="Z18" s="123" t="e">
        <f>AND(Versiones!BZ13,"AAAAAG+8+Rk=")</f>
        <v>#VALUE!</v>
      </c>
      <c r="AA18" s="123" t="e">
        <f>AND(Versiones!CA13,"AAAAAG+8+Ro=")</f>
        <v>#VALUE!</v>
      </c>
      <c r="AB18" s="123" t="e">
        <f>AND(Versiones!CB13,"AAAAAG+8+Rs=")</f>
        <v>#VALUE!</v>
      </c>
      <c r="AC18" s="123" t="e">
        <f>AND(Versiones!CC13,"AAAAAG+8+Rw=")</f>
        <v>#VALUE!</v>
      </c>
      <c r="AD18" s="123" t="e">
        <f>AND(Versiones!CD13,"AAAAAG+8+R0=")</f>
        <v>#VALUE!</v>
      </c>
      <c r="AE18" s="123" t="e">
        <f>AND(Versiones!CE13,"AAAAAG+8+R4=")</f>
        <v>#VALUE!</v>
      </c>
      <c r="AF18" s="123" t="e">
        <f>AND(Versiones!CF13,"AAAAAG+8+R8=")</f>
        <v>#VALUE!</v>
      </c>
      <c r="AG18" s="123" t="e">
        <f>AND(Versiones!CG13,"AAAAAG+8+SA=")</f>
        <v>#VALUE!</v>
      </c>
      <c r="AH18" s="123" t="e">
        <f>AND(Versiones!CH13,"AAAAAG+8+SE=")</f>
        <v>#VALUE!</v>
      </c>
      <c r="AI18" s="123" t="e">
        <f>AND(Versiones!CI13,"AAAAAG+8+SI=")</f>
        <v>#VALUE!</v>
      </c>
      <c r="AJ18" s="123" t="e">
        <f>AND(Versiones!CJ13,"AAAAAG+8+SM=")</f>
        <v>#VALUE!</v>
      </c>
      <c r="AK18" s="123" t="e">
        <f>AND(Versiones!CK13,"AAAAAG+8+SQ=")</f>
        <v>#VALUE!</v>
      </c>
      <c r="AL18" s="123" t="e">
        <f>AND(Versiones!CL13,"AAAAAG+8+SU=")</f>
        <v>#VALUE!</v>
      </c>
      <c r="AM18" s="123" t="e">
        <f>AND(Versiones!CM13,"AAAAAG+8+SY=")</f>
        <v>#VALUE!</v>
      </c>
      <c r="AN18" s="123" t="e">
        <f>AND(Versiones!CN13,"AAAAAG+8+Sc=")</f>
        <v>#VALUE!</v>
      </c>
      <c r="AO18" s="123" t="e">
        <f>AND(Versiones!CO13,"AAAAAG+8+Sg=")</f>
        <v>#VALUE!</v>
      </c>
      <c r="AP18" s="123" t="e">
        <f>AND(Versiones!CP13,"AAAAAG+8+Sk=")</f>
        <v>#VALUE!</v>
      </c>
      <c r="AQ18" s="123" t="e">
        <f>AND(Versiones!CQ13,"AAAAAG+8+So=")</f>
        <v>#VALUE!</v>
      </c>
      <c r="AR18" s="123" t="e">
        <f>AND(Versiones!CR13,"AAAAAG+8+Ss=")</f>
        <v>#VALUE!</v>
      </c>
      <c r="AS18" s="123" t="e">
        <f>AND(Versiones!CS13,"AAAAAG+8+Sw=")</f>
        <v>#VALUE!</v>
      </c>
      <c r="AT18" s="123" t="e">
        <f>AND(Versiones!CT13,"AAAAAG+8+S0=")</f>
        <v>#VALUE!</v>
      </c>
      <c r="AU18" s="123" t="e">
        <f>AND(Versiones!CU13,"AAAAAG+8+S4=")</f>
        <v>#VALUE!</v>
      </c>
      <c r="AV18" s="123" t="e">
        <f>AND(Versiones!CV13,"AAAAAG+8+S8=")</f>
        <v>#VALUE!</v>
      </c>
      <c r="AW18" s="123" t="e">
        <f>AND(Versiones!CW13,"AAAAAG+8+TA=")</f>
        <v>#VALUE!</v>
      </c>
      <c r="AX18" s="123" t="e">
        <f>AND(Versiones!CX13,"AAAAAG+8+TE=")</f>
        <v>#VALUE!</v>
      </c>
      <c r="AY18" s="123" t="e">
        <f>AND(Versiones!CY13,"AAAAAG+8+TI=")</f>
        <v>#VALUE!</v>
      </c>
      <c r="AZ18" s="123" t="e">
        <f>AND(Versiones!CZ13,"AAAAAG+8+TM=")</f>
        <v>#VALUE!</v>
      </c>
      <c r="BA18" s="123" t="e">
        <f>AND(Versiones!DA13,"AAAAAG+8+TQ=")</f>
        <v>#VALUE!</v>
      </c>
      <c r="BB18" s="123" t="e">
        <f>AND(Versiones!DB13,"AAAAAG+8+TU=")</f>
        <v>#VALUE!</v>
      </c>
      <c r="BC18" s="123" t="e">
        <f>AND(Versiones!DC13,"AAAAAG+8+TY=")</f>
        <v>#VALUE!</v>
      </c>
      <c r="BD18" s="123" t="e">
        <f>AND(Versiones!DD13,"AAAAAG+8+Tc=")</f>
        <v>#VALUE!</v>
      </c>
      <c r="BE18" s="123" t="e">
        <f>AND(Versiones!DE13,"AAAAAG+8+Tg=")</f>
        <v>#VALUE!</v>
      </c>
      <c r="BF18" s="123" t="e">
        <f>AND(Versiones!DF13,"AAAAAG+8+Tk=")</f>
        <v>#VALUE!</v>
      </c>
      <c r="BG18" s="123" t="e">
        <f>AND(Versiones!DG13,"AAAAAG+8+To=")</f>
        <v>#VALUE!</v>
      </c>
      <c r="BH18" s="123" t="e">
        <f>AND(Versiones!DH13,"AAAAAG+8+Ts=")</f>
        <v>#VALUE!</v>
      </c>
      <c r="BI18" s="123" t="e">
        <f>AND(Versiones!DI13,"AAAAAG+8+Tw=")</f>
        <v>#VALUE!</v>
      </c>
      <c r="BJ18" s="123" t="e">
        <f>AND(Versiones!DJ13,"AAAAAG+8+T0=")</f>
        <v>#VALUE!</v>
      </c>
      <c r="BK18" s="123" t="e">
        <f>AND(Versiones!DK13,"AAAAAG+8+T4=")</f>
        <v>#VALUE!</v>
      </c>
      <c r="BL18" s="123" t="e">
        <f>AND(Versiones!DL13,"AAAAAG+8+T8=")</f>
        <v>#VALUE!</v>
      </c>
      <c r="BM18" s="123" t="e">
        <f>AND(Versiones!DM13,"AAAAAG+8+UA=")</f>
        <v>#VALUE!</v>
      </c>
      <c r="BN18" s="123" t="e">
        <f>AND(Versiones!DN13,"AAAAAG+8+UE=")</f>
        <v>#VALUE!</v>
      </c>
      <c r="BO18" s="123" t="e">
        <f>AND(Versiones!DO13,"AAAAAG+8+UI=")</f>
        <v>#VALUE!</v>
      </c>
      <c r="BP18" s="123" t="e">
        <f>AND(Versiones!DP13,"AAAAAG+8+UM=")</f>
        <v>#VALUE!</v>
      </c>
      <c r="BQ18" s="123" t="e">
        <f>AND(Versiones!DQ13,"AAAAAG+8+UQ=")</f>
        <v>#VALUE!</v>
      </c>
      <c r="BR18" s="123" t="e">
        <f>AND(Versiones!DR13,"AAAAAG+8+UU=")</f>
        <v>#VALUE!</v>
      </c>
      <c r="BS18" s="123" t="e">
        <f>AND(Versiones!DS13,"AAAAAG+8+UY=")</f>
        <v>#VALUE!</v>
      </c>
      <c r="BT18" s="123" t="e">
        <f>AND(Versiones!DT13,"AAAAAG+8+Uc=")</f>
        <v>#VALUE!</v>
      </c>
      <c r="BU18" s="123" t="e">
        <f>AND(Versiones!DU13,"AAAAAG+8+Ug=")</f>
        <v>#VALUE!</v>
      </c>
      <c r="BV18" s="123" t="e">
        <f>AND(Versiones!DV13,"AAAAAG+8+Uk=")</f>
        <v>#VALUE!</v>
      </c>
      <c r="BW18" s="123" t="e">
        <f>AND(Versiones!DW13,"AAAAAG+8+Uo=")</f>
        <v>#VALUE!</v>
      </c>
      <c r="BX18" s="123" t="e">
        <f>AND(Versiones!DX13,"AAAAAG+8+Us=")</f>
        <v>#VALUE!</v>
      </c>
      <c r="BY18" s="123" t="e">
        <f>AND(Versiones!DY13,"AAAAAG+8+Uw=")</f>
        <v>#VALUE!</v>
      </c>
      <c r="BZ18" s="123" t="e">
        <f>AND(Versiones!DZ13,"AAAAAG+8+U0=")</f>
        <v>#VALUE!</v>
      </c>
      <c r="CA18" s="123" t="e">
        <f>AND(Versiones!EA13,"AAAAAG+8+U4=")</f>
        <v>#VALUE!</v>
      </c>
      <c r="CB18" s="123" t="e">
        <f>AND(Versiones!EB13,"AAAAAG+8+U8=")</f>
        <v>#VALUE!</v>
      </c>
      <c r="CC18" s="123" t="e">
        <f>AND(Versiones!EC13,"AAAAAG+8+VA=")</f>
        <v>#VALUE!</v>
      </c>
      <c r="CD18" s="123" t="e">
        <f>AND(Versiones!ED13,"AAAAAG+8+VE=")</f>
        <v>#VALUE!</v>
      </c>
      <c r="CE18" s="123" t="e">
        <f>AND(Versiones!EE13,"AAAAAG+8+VI=")</f>
        <v>#VALUE!</v>
      </c>
      <c r="CF18" s="123" t="e">
        <f>AND(Versiones!EF13,"AAAAAG+8+VM=")</f>
        <v>#VALUE!</v>
      </c>
      <c r="CG18" s="123" t="e">
        <f>AND(Versiones!EG13,"AAAAAG+8+VQ=")</f>
        <v>#VALUE!</v>
      </c>
      <c r="CH18" s="123" t="e">
        <f>AND(Versiones!EH13,"AAAAAG+8+VU=")</f>
        <v>#VALUE!</v>
      </c>
      <c r="CI18" s="123" t="e">
        <f>AND(Versiones!EI13,"AAAAAG+8+VY=")</f>
        <v>#VALUE!</v>
      </c>
      <c r="CJ18" s="123" t="e">
        <f>AND(Versiones!EJ13,"AAAAAG+8+Vc=")</f>
        <v>#VALUE!</v>
      </c>
      <c r="CK18" s="123" t="e">
        <f>AND(Versiones!EK13,"AAAAAG+8+Vg=")</f>
        <v>#VALUE!</v>
      </c>
      <c r="CL18" s="123" t="e">
        <f>AND(Versiones!EL13,"AAAAAG+8+Vk=")</f>
        <v>#VALUE!</v>
      </c>
      <c r="CM18" s="123" t="e">
        <f>AND(Versiones!EM13,"AAAAAG+8+Vo=")</f>
        <v>#VALUE!</v>
      </c>
      <c r="CN18" s="123" t="e">
        <f>AND(Versiones!EN13,"AAAAAG+8+Vs=")</f>
        <v>#VALUE!</v>
      </c>
      <c r="CO18" s="123" t="e">
        <f>AND(Versiones!EO13,"AAAAAG+8+Vw=")</f>
        <v>#VALUE!</v>
      </c>
      <c r="CP18" s="123" t="e">
        <f>AND(Versiones!EP13,"AAAAAG+8+V0=")</f>
        <v>#VALUE!</v>
      </c>
      <c r="CQ18" s="123" t="e">
        <f>AND(Versiones!EQ13,"AAAAAG+8+V4=")</f>
        <v>#VALUE!</v>
      </c>
      <c r="CR18" s="123" t="e">
        <f>AND(Versiones!ER13,"AAAAAG+8+V8=")</f>
        <v>#VALUE!</v>
      </c>
      <c r="CS18" s="123" t="e">
        <f>AND(Versiones!ES13,"AAAAAG+8+WA=")</f>
        <v>#VALUE!</v>
      </c>
      <c r="CT18" s="123" t="e">
        <f>AND(Versiones!ET13,"AAAAAG+8+WE=")</f>
        <v>#VALUE!</v>
      </c>
      <c r="CU18" s="123" t="e">
        <f>AND(Versiones!EU13,"AAAAAG+8+WI=")</f>
        <v>#VALUE!</v>
      </c>
      <c r="CV18" s="123" t="e">
        <f>AND(Versiones!EV13,"AAAAAG+8+WM=")</f>
        <v>#VALUE!</v>
      </c>
      <c r="CW18" s="123" t="e">
        <f>AND(Versiones!EW13,"AAAAAG+8+WQ=")</f>
        <v>#VALUE!</v>
      </c>
      <c r="CX18" s="123" t="e">
        <f>AND(Versiones!EX13,"AAAAAG+8+WU=")</f>
        <v>#VALUE!</v>
      </c>
      <c r="CY18" s="123" t="e">
        <f>AND(Versiones!EY13,"AAAAAG+8+WY=")</f>
        <v>#VALUE!</v>
      </c>
      <c r="CZ18" s="123" t="e">
        <f>AND(Versiones!EZ13,"AAAAAG+8+Wc=")</f>
        <v>#VALUE!</v>
      </c>
      <c r="DA18" s="123" t="e">
        <f>AND(Versiones!FA13,"AAAAAG+8+Wg=")</f>
        <v>#VALUE!</v>
      </c>
      <c r="DB18" s="123" t="e">
        <f>AND(Versiones!FB13,"AAAAAG+8+Wk=")</f>
        <v>#VALUE!</v>
      </c>
      <c r="DC18" s="123" t="e">
        <f>AND(Versiones!FC13,"AAAAAG+8+Wo=")</f>
        <v>#VALUE!</v>
      </c>
      <c r="DD18" s="123" t="e">
        <f>AND(Versiones!FD13,"AAAAAG+8+Ws=")</f>
        <v>#VALUE!</v>
      </c>
      <c r="DE18" s="123" t="e">
        <f>AND(Versiones!FE13,"AAAAAG+8+Ww=")</f>
        <v>#VALUE!</v>
      </c>
      <c r="DF18" s="123" t="e">
        <f>AND(Versiones!FF13,"AAAAAG+8+W0=")</f>
        <v>#VALUE!</v>
      </c>
      <c r="DG18" s="123" t="e">
        <f>AND(Versiones!FG13,"AAAAAG+8+W4=")</f>
        <v>#VALUE!</v>
      </c>
      <c r="DH18" s="123" t="e">
        <f>AND(Versiones!FH13,"AAAAAG+8+W8=")</f>
        <v>#VALUE!</v>
      </c>
      <c r="DI18" s="123" t="e">
        <f>AND(Versiones!FI13,"AAAAAG+8+XA=")</f>
        <v>#VALUE!</v>
      </c>
      <c r="DJ18" s="123" t="e">
        <f>AND(Versiones!FJ13,"AAAAAG+8+XE=")</f>
        <v>#VALUE!</v>
      </c>
      <c r="DK18" s="123" t="e">
        <f>AND(Versiones!FK13,"AAAAAG+8+XI=")</f>
        <v>#VALUE!</v>
      </c>
      <c r="DL18" s="123" t="e">
        <f>AND(Versiones!FL13,"AAAAAG+8+XM=")</f>
        <v>#VALUE!</v>
      </c>
      <c r="DM18" s="123" t="e">
        <f>AND(Versiones!FM13,"AAAAAG+8+XQ=")</f>
        <v>#VALUE!</v>
      </c>
      <c r="DN18" s="123" t="e">
        <f>AND(Versiones!FN13,"AAAAAG+8+XU=")</f>
        <v>#VALUE!</v>
      </c>
      <c r="DO18" s="123" t="e">
        <f>AND(Versiones!FO13,"AAAAAG+8+XY=")</f>
        <v>#VALUE!</v>
      </c>
      <c r="DP18" s="123" t="e">
        <f>AND(Versiones!FP13,"AAAAAG+8+Xc=")</f>
        <v>#VALUE!</v>
      </c>
      <c r="DQ18" s="123" t="e">
        <f>AND(Versiones!FQ13,"AAAAAG+8+Xg=")</f>
        <v>#VALUE!</v>
      </c>
      <c r="DR18" s="123" t="e">
        <f>AND(Versiones!FR13,"AAAAAG+8+Xk=")</f>
        <v>#VALUE!</v>
      </c>
      <c r="DS18" s="123" t="e">
        <f>AND(Versiones!FS13,"AAAAAG+8+Xo=")</f>
        <v>#VALUE!</v>
      </c>
      <c r="DT18" s="123" t="e">
        <f>AND(Versiones!FT13,"AAAAAG+8+Xs=")</f>
        <v>#VALUE!</v>
      </c>
      <c r="DU18" s="123" t="e">
        <f>AND(Versiones!FU13,"AAAAAG+8+Xw=")</f>
        <v>#VALUE!</v>
      </c>
      <c r="DV18" s="123" t="e">
        <f>AND(Versiones!FV13,"AAAAAG+8+X0=")</f>
        <v>#VALUE!</v>
      </c>
      <c r="DW18" s="123" t="e">
        <f>AND(Versiones!FW13,"AAAAAG+8+X4=")</f>
        <v>#VALUE!</v>
      </c>
      <c r="DX18" s="123" t="e">
        <f>AND(Versiones!FX13,"AAAAAG+8+X8=")</f>
        <v>#VALUE!</v>
      </c>
      <c r="DY18" s="123" t="e">
        <f>AND(Versiones!FY13,"AAAAAG+8+YA=")</f>
        <v>#VALUE!</v>
      </c>
      <c r="DZ18" s="123" t="e">
        <f>AND(Versiones!FZ13,"AAAAAG+8+YE=")</f>
        <v>#VALUE!</v>
      </c>
      <c r="EA18" s="123" t="e">
        <f>AND(Versiones!GA13,"AAAAAG+8+YI=")</f>
        <v>#VALUE!</v>
      </c>
      <c r="EB18" s="123" t="e">
        <f>AND(Versiones!GB13,"AAAAAG+8+YM=")</f>
        <v>#VALUE!</v>
      </c>
      <c r="EC18" s="123" t="e">
        <f>AND(Versiones!GC13,"AAAAAG+8+YQ=")</f>
        <v>#VALUE!</v>
      </c>
      <c r="ED18" s="123" t="e">
        <f>AND(Versiones!GD13,"AAAAAG+8+YU=")</f>
        <v>#VALUE!</v>
      </c>
      <c r="EE18" s="123" t="e">
        <f>AND(Versiones!GE13,"AAAAAG+8+YY=")</f>
        <v>#VALUE!</v>
      </c>
      <c r="EF18" s="123" t="e">
        <f>AND(Versiones!GF13,"AAAAAG+8+Yc=")</f>
        <v>#VALUE!</v>
      </c>
      <c r="EG18" s="123" t="e">
        <f>AND(Versiones!GG13,"AAAAAG+8+Yg=")</f>
        <v>#VALUE!</v>
      </c>
      <c r="EH18" s="123" t="e">
        <f>AND(Versiones!GH13,"AAAAAG+8+Yk=")</f>
        <v>#VALUE!</v>
      </c>
      <c r="EI18" s="123" t="e">
        <f>AND(Versiones!GI13,"AAAAAG+8+Yo=")</f>
        <v>#VALUE!</v>
      </c>
      <c r="EJ18" s="123" t="e">
        <f>AND(Versiones!GJ13,"AAAAAG+8+Ys=")</f>
        <v>#VALUE!</v>
      </c>
      <c r="EK18" s="123" t="e">
        <f>AND(Versiones!GK13,"AAAAAG+8+Yw=")</f>
        <v>#VALUE!</v>
      </c>
      <c r="EL18" s="123" t="e">
        <f>AND(Versiones!GL13,"AAAAAG+8+Y0=")</f>
        <v>#VALUE!</v>
      </c>
      <c r="EM18" s="123" t="e">
        <f>AND(Versiones!GM13,"AAAAAG+8+Y4=")</f>
        <v>#VALUE!</v>
      </c>
      <c r="EN18" s="123" t="e">
        <f>AND(Versiones!GN13,"AAAAAG+8+Y8=")</f>
        <v>#VALUE!</v>
      </c>
      <c r="EO18" s="123" t="e">
        <f>AND(Versiones!GO13,"AAAAAG+8+ZA=")</f>
        <v>#VALUE!</v>
      </c>
      <c r="EP18" s="123" t="e">
        <f>AND(Versiones!GP13,"AAAAAG+8+ZE=")</f>
        <v>#VALUE!</v>
      </c>
      <c r="EQ18" s="123" t="e">
        <f>AND(Versiones!GQ13,"AAAAAG+8+ZI=")</f>
        <v>#VALUE!</v>
      </c>
      <c r="ER18" s="123" t="e">
        <f>AND(Versiones!GR13,"AAAAAG+8+ZM=")</f>
        <v>#VALUE!</v>
      </c>
      <c r="ES18" s="123" t="e">
        <f>AND(Versiones!GS13,"AAAAAG+8+ZQ=")</f>
        <v>#VALUE!</v>
      </c>
      <c r="ET18" s="123" t="e">
        <f>AND(Versiones!GT13,"AAAAAG+8+ZU=")</f>
        <v>#VALUE!</v>
      </c>
      <c r="EU18" s="123" t="e">
        <f>AND(Versiones!GU13,"AAAAAG+8+ZY=")</f>
        <v>#VALUE!</v>
      </c>
      <c r="EV18" s="123" t="e">
        <f>AND(Versiones!GV13,"AAAAAG+8+Zc=")</f>
        <v>#VALUE!</v>
      </c>
      <c r="EW18" s="123" t="e">
        <f>AND(Versiones!GW13,"AAAAAG+8+Zg=")</f>
        <v>#VALUE!</v>
      </c>
      <c r="EX18" s="123" t="e">
        <f>AND(Versiones!GX13,"AAAAAG+8+Zk=")</f>
        <v>#VALUE!</v>
      </c>
      <c r="EY18" s="123" t="e">
        <f>AND(Versiones!GY13,"AAAAAG+8+Zo=")</f>
        <v>#VALUE!</v>
      </c>
      <c r="EZ18" s="123" t="e">
        <f>AND(Versiones!GZ13,"AAAAAG+8+Zs=")</f>
        <v>#VALUE!</v>
      </c>
      <c r="FA18" s="123" t="e">
        <f>AND(Versiones!HA13,"AAAAAG+8+Zw=")</f>
        <v>#VALUE!</v>
      </c>
      <c r="FB18" s="123" t="e">
        <f>AND(Versiones!HB13,"AAAAAG+8+Z0=")</f>
        <v>#VALUE!</v>
      </c>
      <c r="FC18" s="123" t="e">
        <f>AND(Versiones!HC13,"AAAAAG+8+Z4=")</f>
        <v>#VALUE!</v>
      </c>
      <c r="FD18" s="123" t="e">
        <f>AND(Versiones!HD13,"AAAAAG+8+Z8=")</f>
        <v>#VALUE!</v>
      </c>
      <c r="FE18" s="123" t="e">
        <f>AND(Versiones!HE13,"AAAAAG+8+aA=")</f>
        <v>#VALUE!</v>
      </c>
      <c r="FF18" s="123" t="e">
        <f>AND(Versiones!HF13,"AAAAAG+8+aE=")</f>
        <v>#VALUE!</v>
      </c>
      <c r="FG18" s="123" t="e">
        <f>AND(Versiones!HG13,"AAAAAG+8+aI=")</f>
        <v>#VALUE!</v>
      </c>
      <c r="FH18" s="123" t="e">
        <f>AND(Versiones!HH13,"AAAAAG+8+aM=")</f>
        <v>#VALUE!</v>
      </c>
      <c r="FI18" s="123" t="e">
        <f>AND(Versiones!HI13,"AAAAAG+8+aQ=")</f>
        <v>#VALUE!</v>
      </c>
      <c r="FJ18" s="123">
        <f>IF(Versiones!14:14,"AAAAAG+8+aU=",0)</f>
        <v>0</v>
      </c>
      <c r="FK18" s="123" t="e">
        <f>AND(Versiones!A14,"AAAAAG+8+aY=")</f>
        <v>#VALUE!</v>
      </c>
      <c r="FL18" s="123" t="e">
        <f>AND(Versiones!B14,"AAAAAG+8+ac=")</f>
        <v>#VALUE!</v>
      </c>
      <c r="FM18" s="123" t="e">
        <f>AND(Versiones!C14,"AAAAAG+8+ag=")</f>
        <v>#VALUE!</v>
      </c>
      <c r="FN18" s="123" t="e">
        <f>AND(Versiones!D14,"AAAAAG+8+ak=")</f>
        <v>#VALUE!</v>
      </c>
      <c r="FO18" s="123" t="e">
        <f>AND(Versiones!E14,"AAAAAG+8+ao=")</f>
        <v>#VALUE!</v>
      </c>
      <c r="FP18" s="123" t="e">
        <f>AND(Versiones!F14,"AAAAAG+8+as=")</f>
        <v>#VALUE!</v>
      </c>
      <c r="FQ18" s="123" t="e">
        <f>AND(Versiones!#REF!,"AAAAAG+8+aw=")</f>
        <v>#REF!</v>
      </c>
      <c r="FR18" s="123" t="e">
        <f>AND(Versiones!G14,"AAAAAG+8+a0=")</f>
        <v>#VALUE!</v>
      </c>
      <c r="FS18" s="123" t="e">
        <f>AND(Versiones!H14,"AAAAAG+8+a4=")</f>
        <v>#VALUE!</v>
      </c>
      <c r="FT18" s="123" t="e">
        <f>AND(Versiones!I14,"AAAAAG+8+a8=")</f>
        <v>#VALUE!</v>
      </c>
      <c r="FU18" s="123" t="e">
        <f>AND(Versiones!J14,"AAAAAG+8+bA=")</f>
        <v>#VALUE!</v>
      </c>
      <c r="FV18" s="123" t="e">
        <f>AND(Versiones!K14,"AAAAAG+8+bE=")</f>
        <v>#VALUE!</v>
      </c>
      <c r="FW18" s="123" t="e">
        <f>AND(Versiones!L14,"AAAAAG+8+bI=")</f>
        <v>#VALUE!</v>
      </c>
      <c r="FX18" s="123" t="e">
        <f>AND(Versiones!M14,"AAAAAG+8+bM=")</f>
        <v>#VALUE!</v>
      </c>
      <c r="FY18" s="123" t="e">
        <f>AND(Versiones!N14,"AAAAAG+8+bQ=")</f>
        <v>#VALUE!</v>
      </c>
      <c r="FZ18" s="123" t="e">
        <f>AND(Versiones!O14,"AAAAAG+8+bU=")</f>
        <v>#VALUE!</v>
      </c>
      <c r="GA18" s="123" t="e">
        <f>AND(Versiones!P14,"AAAAAG+8+bY=")</f>
        <v>#VALUE!</v>
      </c>
      <c r="GB18" s="123" t="e">
        <f>AND(Versiones!Q14,"AAAAAG+8+bc=")</f>
        <v>#VALUE!</v>
      </c>
      <c r="GC18" s="123" t="e">
        <f>AND(Versiones!R14,"AAAAAG+8+bg=")</f>
        <v>#VALUE!</v>
      </c>
      <c r="GD18" s="123" t="e">
        <f>AND(Versiones!S14,"AAAAAG+8+bk=")</f>
        <v>#VALUE!</v>
      </c>
      <c r="GE18" s="123" t="e">
        <f>AND(Versiones!T14,"AAAAAG+8+bo=")</f>
        <v>#VALUE!</v>
      </c>
      <c r="GF18" s="123" t="e">
        <f>AND(Versiones!U14,"AAAAAG+8+bs=")</f>
        <v>#VALUE!</v>
      </c>
      <c r="GG18" s="123" t="e">
        <f>AND(Versiones!V14,"AAAAAG+8+bw=")</f>
        <v>#VALUE!</v>
      </c>
      <c r="GH18" s="123" t="e">
        <f>AND(Versiones!W14,"AAAAAG+8+b0=")</f>
        <v>#VALUE!</v>
      </c>
      <c r="GI18" s="123" t="e">
        <f>AND(Versiones!X14,"AAAAAG+8+b4=")</f>
        <v>#VALUE!</v>
      </c>
      <c r="GJ18" s="123" t="e">
        <f>AND(Versiones!Y14,"AAAAAG+8+b8=")</f>
        <v>#VALUE!</v>
      </c>
      <c r="GK18" s="123" t="e">
        <f>AND(Versiones!Z14,"AAAAAG+8+cA=")</f>
        <v>#VALUE!</v>
      </c>
      <c r="GL18" s="123" t="e">
        <f>AND(Versiones!AA14,"AAAAAG+8+cE=")</f>
        <v>#VALUE!</v>
      </c>
      <c r="GM18" s="123" t="e">
        <f>AND(Versiones!AB14,"AAAAAG+8+cI=")</f>
        <v>#VALUE!</v>
      </c>
      <c r="GN18" s="123" t="e">
        <f>AND(Versiones!AC14,"AAAAAG+8+cM=")</f>
        <v>#VALUE!</v>
      </c>
      <c r="GO18" s="123" t="e">
        <f>AND(Versiones!AD14,"AAAAAG+8+cQ=")</f>
        <v>#VALUE!</v>
      </c>
      <c r="GP18" s="123" t="e">
        <f>AND(Versiones!AE14,"AAAAAG+8+cU=")</f>
        <v>#VALUE!</v>
      </c>
      <c r="GQ18" s="123" t="e">
        <f>AND(Versiones!AF14,"AAAAAG+8+cY=")</f>
        <v>#VALUE!</v>
      </c>
      <c r="GR18" s="123" t="e">
        <f>AND(Versiones!AG14,"AAAAAG+8+cc=")</f>
        <v>#VALUE!</v>
      </c>
      <c r="GS18" s="123" t="e">
        <f>AND(Versiones!AH14,"AAAAAG+8+cg=")</f>
        <v>#VALUE!</v>
      </c>
      <c r="GT18" s="123" t="e">
        <f>AND(Versiones!AI14,"AAAAAG+8+ck=")</f>
        <v>#VALUE!</v>
      </c>
      <c r="GU18" s="123" t="e">
        <f>AND(Versiones!AJ14,"AAAAAG+8+co=")</f>
        <v>#VALUE!</v>
      </c>
      <c r="GV18" s="123" t="e">
        <f>AND(Versiones!AK14,"AAAAAG+8+cs=")</f>
        <v>#VALUE!</v>
      </c>
      <c r="GW18" s="123" t="e">
        <f>AND(Versiones!AL14,"AAAAAG+8+cw=")</f>
        <v>#VALUE!</v>
      </c>
      <c r="GX18" s="123" t="e">
        <f>AND(Versiones!AM14,"AAAAAG+8+c0=")</f>
        <v>#VALUE!</v>
      </c>
      <c r="GY18" s="123" t="e">
        <f>AND(Versiones!AN14,"AAAAAG+8+c4=")</f>
        <v>#VALUE!</v>
      </c>
      <c r="GZ18" s="123" t="e">
        <f>AND(Versiones!AO14,"AAAAAG+8+c8=")</f>
        <v>#VALUE!</v>
      </c>
      <c r="HA18" s="123" t="e">
        <f>AND(Versiones!AP14,"AAAAAG+8+dA=")</f>
        <v>#VALUE!</v>
      </c>
      <c r="HB18" s="123" t="e">
        <f>AND(Versiones!AQ14,"AAAAAG+8+dE=")</f>
        <v>#VALUE!</v>
      </c>
      <c r="HC18" s="123" t="e">
        <f>AND(Versiones!AR14,"AAAAAG+8+dI=")</f>
        <v>#VALUE!</v>
      </c>
      <c r="HD18" s="123" t="e">
        <f>AND(Versiones!AS14,"AAAAAG+8+dM=")</f>
        <v>#VALUE!</v>
      </c>
      <c r="HE18" s="123" t="e">
        <f>AND(Versiones!AT14,"AAAAAG+8+dQ=")</f>
        <v>#VALUE!</v>
      </c>
      <c r="HF18" s="123" t="e">
        <f>AND(Versiones!AU14,"AAAAAG+8+dU=")</f>
        <v>#VALUE!</v>
      </c>
      <c r="HG18" s="123" t="e">
        <f>AND(Versiones!AV14,"AAAAAG+8+dY=")</f>
        <v>#VALUE!</v>
      </c>
      <c r="HH18" s="123" t="e">
        <f>AND(Versiones!AW14,"AAAAAG+8+dc=")</f>
        <v>#VALUE!</v>
      </c>
      <c r="HI18" s="123" t="e">
        <f>AND(Versiones!AX14,"AAAAAG+8+dg=")</f>
        <v>#VALUE!</v>
      </c>
      <c r="HJ18" s="123" t="e">
        <f>AND(Versiones!AY14,"AAAAAG+8+dk=")</f>
        <v>#VALUE!</v>
      </c>
      <c r="HK18" s="123" t="e">
        <f>AND(Versiones!AZ14,"AAAAAG+8+do=")</f>
        <v>#VALUE!</v>
      </c>
      <c r="HL18" s="123" t="e">
        <f>AND(Versiones!BA14,"AAAAAG+8+ds=")</f>
        <v>#VALUE!</v>
      </c>
      <c r="HM18" s="123" t="e">
        <f>AND(Versiones!BB14,"AAAAAG+8+dw=")</f>
        <v>#VALUE!</v>
      </c>
      <c r="HN18" s="123" t="e">
        <f>AND(Versiones!BC14,"AAAAAG+8+d0=")</f>
        <v>#VALUE!</v>
      </c>
      <c r="HO18" s="123" t="e">
        <f>AND(Versiones!BD14,"AAAAAG+8+d4=")</f>
        <v>#VALUE!</v>
      </c>
      <c r="HP18" s="123" t="e">
        <f>AND(Versiones!BE14,"AAAAAG+8+d8=")</f>
        <v>#VALUE!</v>
      </c>
      <c r="HQ18" s="123" t="e">
        <f>AND(Versiones!BF14,"AAAAAG+8+eA=")</f>
        <v>#VALUE!</v>
      </c>
      <c r="HR18" s="123" t="e">
        <f>AND(Versiones!BG14,"AAAAAG+8+eE=")</f>
        <v>#VALUE!</v>
      </c>
      <c r="HS18" s="123" t="e">
        <f>AND(Versiones!BH14,"AAAAAG+8+eI=")</f>
        <v>#VALUE!</v>
      </c>
      <c r="HT18" s="123" t="e">
        <f>AND(Versiones!BI14,"AAAAAG+8+eM=")</f>
        <v>#VALUE!</v>
      </c>
      <c r="HU18" s="123" t="e">
        <f>AND(Versiones!BJ14,"AAAAAG+8+eQ=")</f>
        <v>#VALUE!</v>
      </c>
      <c r="HV18" s="123" t="e">
        <f>AND(Versiones!BK14,"AAAAAG+8+eU=")</f>
        <v>#VALUE!</v>
      </c>
      <c r="HW18" s="123" t="e">
        <f>AND(Versiones!BL14,"AAAAAG+8+eY=")</f>
        <v>#VALUE!</v>
      </c>
      <c r="HX18" s="123" t="e">
        <f>AND(Versiones!BM14,"AAAAAG+8+ec=")</f>
        <v>#VALUE!</v>
      </c>
      <c r="HY18" s="123" t="e">
        <f>AND(Versiones!BN14,"AAAAAG+8+eg=")</f>
        <v>#VALUE!</v>
      </c>
      <c r="HZ18" s="123" t="e">
        <f>AND(Versiones!BO14,"AAAAAG+8+ek=")</f>
        <v>#VALUE!</v>
      </c>
      <c r="IA18" s="123" t="e">
        <f>AND(Versiones!BP14,"AAAAAG+8+eo=")</f>
        <v>#VALUE!</v>
      </c>
      <c r="IB18" s="123" t="e">
        <f>AND(Versiones!BQ14,"AAAAAG+8+es=")</f>
        <v>#VALUE!</v>
      </c>
      <c r="IC18" s="123" t="e">
        <f>AND(Versiones!BR14,"AAAAAG+8+ew=")</f>
        <v>#VALUE!</v>
      </c>
      <c r="ID18" s="123" t="e">
        <f>AND(Versiones!BS14,"AAAAAG+8+e0=")</f>
        <v>#VALUE!</v>
      </c>
      <c r="IE18" s="123" t="e">
        <f>AND(Versiones!BT14,"AAAAAG+8+e4=")</f>
        <v>#VALUE!</v>
      </c>
      <c r="IF18" s="123" t="e">
        <f>AND(Versiones!BU14,"AAAAAG+8+e8=")</f>
        <v>#VALUE!</v>
      </c>
      <c r="IG18" s="123" t="e">
        <f>AND(Versiones!BV14,"AAAAAG+8+fA=")</f>
        <v>#VALUE!</v>
      </c>
      <c r="IH18" s="123" t="e">
        <f>AND(Versiones!BW14,"AAAAAG+8+fE=")</f>
        <v>#VALUE!</v>
      </c>
      <c r="II18" s="123" t="e">
        <f>AND(Versiones!BX14,"AAAAAG+8+fI=")</f>
        <v>#VALUE!</v>
      </c>
      <c r="IJ18" s="123" t="e">
        <f>AND(Versiones!BY14,"AAAAAG+8+fM=")</f>
        <v>#VALUE!</v>
      </c>
      <c r="IK18" s="123" t="e">
        <f>AND(Versiones!BZ14,"AAAAAG+8+fQ=")</f>
        <v>#VALUE!</v>
      </c>
      <c r="IL18" s="123" t="e">
        <f>AND(Versiones!CA14,"AAAAAG+8+fU=")</f>
        <v>#VALUE!</v>
      </c>
      <c r="IM18" s="123" t="e">
        <f>AND(Versiones!CB14,"AAAAAG+8+fY=")</f>
        <v>#VALUE!</v>
      </c>
      <c r="IN18" s="123" t="e">
        <f>AND(Versiones!CC14,"AAAAAG+8+fc=")</f>
        <v>#VALUE!</v>
      </c>
      <c r="IO18" s="123" t="e">
        <f>AND(Versiones!CD14,"AAAAAG+8+fg=")</f>
        <v>#VALUE!</v>
      </c>
      <c r="IP18" s="123" t="e">
        <f>AND(Versiones!CE14,"AAAAAG+8+fk=")</f>
        <v>#VALUE!</v>
      </c>
      <c r="IQ18" s="123" t="e">
        <f>AND(Versiones!CF14,"AAAAAG+8+fo=")</f>
        <v>#VALUE!</v>
      </c>
      <c r="IR18" s="123" t="e">
        <f>AND(Versiones!CG14,"AAAAAG+8+fs=")</f>
        <v>#VALUE!</v>
      </c>
      <c r="IS18" s="123" t="e">
        <f>AND(Versiones!CH14,"AAAAAG+8+fw=")</f>
        <v>#VALUE!</v>
      </c>
      <c r="IT18" s="123" t="e">
        <f>AND(Versiones!CI14,"AAAAAG+8+f0=")</f>
        <v>#VALUE!</v>
      </c>
      <c r="IU18" s="123" t="e">
        <f>AND(Versiones!CJ14,"AAAAAG+8+f4=")</f>
        <v>#VALUE!</v>
      </c>
      <c r="IV18" s="123" t="e">
        <f>AND(Versiones!CK14,"AAAAAG+8+f8=")</f>
        <v>#VALUE!</v>
      </c>
    </row>
    <row r="19" spans="1:256" ht="14.4">
      <c r="A19" s="123" t="e">
        <f>AND(Versiones!CL14,"AAAAAG/5zwA=")</f>
        <v>#VALUE!</v>
      </c>
      <c r="B19" s="123" t="e">
        <f>AND(Versiones!CM14,"AAAAAG/5zwE=")</f>
        <v>#VALUE!</v>
      </c>
      <c r="C19" s="123" t="e">
        <f>AND(Versiones!CN14,"AAAAAG/5zwI=")</f>
        <v>#VALUE!</v>
      </c>
      <c r="D19" s="123" t="e">
        <f>AND(Versiones!CO14,"AAAAAG/5zwM=")</f>
        <v>#VALUE!</v>
      </c>
      <c r="E19" s="123" t="e">
        <f>AND(Versiones!CP14,"AAAAAG/5zwQ=")</f>
        <v>#VALUE!</v>
      </c>
      <c r="F19" s="123" t="e">
        <f>AND(Versiones!CQ14,"AAAAAG/5zwU=")</f>
        <v>#VALUE!</v>
      </c>
      <c r="G19" s="123" t="e">
        <f>AND(Versiones!CR14,"AAAAAG/5zwY=")</f>
        <v>#VALUE!</v>
      </c>
      <c r="H19" s="123" t="e">
        <f>AND(Versiones!CS14,"AAAAAG/5zwc=")</f>
        <v>#VALUE!</v>
      </c>
      <c r="I19" s="123" t="e">
        <f>AND(Versiones!CT14,"AAAAAG/5zwg=")</f>
        <v>#VALUE!</v>
      </c>
      <c r="J19" s="123" t="e">
        <f>AND(Versiones!CU14,"AAAAAG/5zwk=")</f>
        <v>#VALUE!</v>
      </c>
      <c r="K19" s="123" t="e">
        <f>AND(Versiones!CV14,"AAAAAG/5zwo=")</f>
        <v>#VALUE!</v>
      </c>
      <c r="L19" s="123" t="e">
        <f>AND(Versiones!CW14,"AAAAAG/5zws=")</f>
        <v>#VALUE!</v>
      </c>
      <c r="M19" s="123" t="e">
        <f>AND(Versiones!CX14,"AAAAAG/5zww=")</f>
        <v>#VALUE!</v>
      </c>
      <c r="N19" s="123" t="e">
        <f>AND(Versiones!CY14,"AAAAAG/5zw0=")</f>
        <v>#VALUE!</v>
      </c>
      <c r="O19" s="123" t="e">
        <f>AND(Versiones!CZ14,"AAAAAG/5zw4=")</f>
        <v>#VALUE!</v>
      </c>
      <c r="P19" s="123" t="e">
        <f>AND(Versiones!DA14,"AAAAAG/5zw8=")</f>
        <v>#VALUE!</v>
      </c>
      <c r="Q19" s="123" t="e">
        <f>AND(Versiones!DB14,"AAAAAG/5zxA=")</f>
        <v>#VALUE!</v>
      </c>
      <c r="R19" s="123" t="e">
        <f>AND(Versiones!DC14,"AAAAAG/5zxE=")</f>
        <v>#VALUE!</v>
      </c>
      <c r="S19" s="123" t="e">
        <f>AND(Versiones!DD14,"AAAAAG/5zxI=")</f>
        <v>#VALUE!</v>
      </c>
      <c r="T19" s="123" t="e">
        <f>AND(Versiones!DE14,"AAAAAG/5zxM=")</f>
        <v>#VALUE!</v>
      </c>
      <c r="U19" s="123" t="e">
        <f>AND(Versiones!DF14,"AAAAAG/5zxQ=")</f>
        <v>#VALUE!</v>
      </c>
      <c r="V19" s="123" t="e">
        <f>AND(Versiones!DG14,"AAAAAG/5zxU=")</f>
        <v>#VALUE!</v>
      </c>
      <c r="W19" s="123" t="e">
        <f>AND(Versiones!DH14,"AAAAAG/5zxY=")</f>
        <v>#VALUE!</v>
      </c>
      <c r="X19" s="123" t="e">
        <f>AND(Versiones!DI14,"AAAAAG/5zxc=")</f>
        <v>#VALUE!</v>
      </c>
      <c r="Y19" s="123" t="e">
        <f>AND(Versiones!DJ14,"AAAAAG/5zxg=")</f>
        <v>#VALUE!</v>
      </c>
      <c r="Z19" s="123" t="e">
        <f>AND(Versiones!DK14,"AAAAAG/5zxk=")</f>
        <v>#VALUE!</v>
      </c>
      <c r="AA19" s="123" t="e">
        <f>AND(Versiones!DL14,"AAAAAG/5zxo=")</f>
        <v>#VALUE!</v>
      </c>
      <c r="AB19" s="123" t="e">
        <f>AND(Versiones!DM14,"AAAAAG/5zxs=")</f>
        <v>#VALUE!</v>
      </c>
      <c r="AC19" s="123" t="e">
        <f>AND(Versiones!DN14,"AAAAAG/5zxw=")</f>
        <v>#VALUE!</v>
      </c>
      <c r="AD19" s="123" t="e">
        <f>AND(Versiones!DO14,"AAAAAG/5zx0=")</f>
        <v>#VALUE!</v>
      </c>
      <c r="AE19" s="123" t="e">
        <f>AND(Versiones!DP14,"AAAAAG/5zx4=")</f>
        <v>#VALUE!</v>
      </c>
      <c r="AF19" s="123" t="e">
        <f>AND(Versiones!DQ14,"AAAAAG/5zx8=")</f>
        <v>#VALUE!</v>
      </c>
      <c r="AG19" s="123" t="e">
        <f>AND(Versiones!DR14,"AAAAAG/5zyA=")</f>
        <v>#VALUE!</v>
      </c>
      <c r="AH19" s="123" t="e">
        <f>AND(Versiones!DS14,"AAAAAG/5zyE=")</f>
        <v>#VALUE!</v>
      </c>
      <c r="AI19" s="123" t="e">
        <f>AND(Versiones!DT14,"AAAAAG/5zyI=")</f>
        <v>#VALUE!</v>
      </c>
      <c r="AJ19" s="123" t="e">
        <f>AND(Versiones!DU14,"AAAAAG/5zyM=")</f>
        <v>#VALUE!</v>
      </c>
      <c r="AK19" s="123" t="e">
        <f>AND(Versiones!DV14,"AAAAAG/5zyQ=")</f>
        <v>#VALUE!</v>
      </c>
      <c r="AL19" s="123" t="e">
        <f>AND(Versiones!DW14,"AAAAAG/5zyU=")</f>
        <v>#VALUE!</v>
      </c>
      <c r="AM19" s="123" t="e">
        <f>AND(Versiones!DX14,"AAAAAG/5zyY=")</f>
        <v>#VALUE!</v>
      </c>
      <c r="AN19" s="123" t="e">
        <f>AND(Versiones!DY14,"AAAAAG/5zyc=")</f>
        <v>#VALUE!</v>
      </c>
      <c r="AO19" s="123" t="e">
        <f>AND(Versiones!DZ14,"AAAAAG/5zyg=")</f>
        <v>#VALUE!</v>
      </c>
      <c r="AP19" s="123" t="e">
        <f>AND(Versiones!EA14,"AAAAAG/5zyk=")</f>
        <v>#VALUE!</v>
      </c>
      <c r="AQ19" s="123" t="e">
        <f>AND(Versiones!EB14,"AAAAAG/5zyo=")</f>
        <v>#VALUE!</v>
      </c>
      <c r="AR19" s="123" t="e">
        <f>AND(Versiones!EC14,"AAAAAG/5zys=")</f>
        <v>#VALUE!</v>
      </c>
      <c r="AS19" s="123" t="e">
        <f>AND(Versiones!ED14,"AAAAAG/5zyw=")</f>
        <v>#VALUE!</v>
      </c>
      <c r="AT19" s="123" t="e">
        <f>AND(Versiones!EE14,"AAAAAG/5zy0=")</f>
        <v>#VALUE!</v>
      </c>
      <c r="AU19" s="123" t="e">
        <f>AND(Versiones!EF14,"AAAAAG/5zy4=")</f>
        <v>#VALUE!</v>
      </c>
      <c r="AV19" s="123" t="e">
        <f>AND(Versiones!EG14,"AAAAAG/5zy8=")</f>
        <v>#VALUE!</v>
      </c>
      <c r="AW19" s="123" t="e">
        <f>AND(Versiones!EH14,"AAAAAG/5zzA=")</f>
        <v>#VALUE!</v>
      </c>
      <c r="AX19" s="123" t="e">
        <f>AND(Versiones!EI14,"AAAAAG/5zzE=")</f>
        <v>#VALUE!</v>
      </c>
      <c r="AY19" s="123" t="e">
        <f>AND(Versiones!EJ14,"AAAAAG/5zzI=")</f>
        <v>#VALUE!</v>
      </c>
      <c r="AZ19" s="123" t="e">
        <f>AND(Versiones!EK14,"AAAAAG/5zzM=")</f>
        <v>#VALUE!</v>
      </c>
      <c r="BA19" s="123" t="e">
        <f>AND(Versiones!EL14,"AAAAAG/5zzQ=")</f>
        <v>#VALUE!</v>
      </c>
      <c r="BB19" s="123" t="e">
        <f>AND(Versiones!EM14,"AAAAAG/5zzU=")</f>
        <v>#VALUE!</v>
      </c>
      <c r="BC19" s="123" t="e">
        <f>AND(Versiones!EN14,"AAAAAG/5zzY=")</f>
        <v>#VALUE!</v>
      </c>
      <c r="BD19" s="123" t="e">
        <f>AND(Versiones!EO14,"AAAAAG/5zzc=")</f>
        <v>#VALUE!</v>
      </c>
      <c r="BE19" s="123" t="e">
        <f>AND(Versiones!EP14,"AAAAAG/5zzg=")</f>
        <v>#VALUE!</v>
      </c>
      <c r="BF19" s="123" t="e">
        <f>AND(Versiones!EQ14,"AAAAAG/5zzk=")</f>
        <v>#VALUE!</v>
      </c>
      <c r="BG19" s="123" t="e">
        <f>AND(Versiones!ER14,"AAAAAG/5zzo=")</f>
        <v>#VALUE!</v>
      </c>
      <c r="BH19" s="123" t="e">
        <f>AND(Versiones!ES14,"AAAAAG/5zzs=")</f>
        <v>#VALUE!</v>
      </c>
      <c r="BI19" s="123" t="e">
        <f>AND(Versiones!ET14,"AAAAAG/5zzw=")</f>
        <v>#VALUE!</v>
      </c>
      <c r="BJ19" s="123" t="e">
        <f>AND(Versiones!EU14,"AAAAAG/5zz0=")</f>
        <v>#VALUE!</v>
      </c>
      <c r="BK19" s="123" t="e">
        <f>AND(Versiones!EV14,"AAAAAG/5zz4=")</f>
        <v>#VALUE!</v>
      </c>
      <c r="BL19" s="123" t="e">
        <f>AND(Versiones!EW14,"AAAAAG/5zz8=")</f>
        <v>#VALUE!</v>
      </c>
      <c r="BM19" s="123" t="e">
        <f>AND(Versiones!EX14,"AAAAAG/5z0A=")</f>
        <v>#VALUE!</v>
      </c>
      <c r="BN19" s="123" t="e">
        <f>AND(Versiones!EY14,"AAAAAG/5z0E=")</f>
        <v>#VALUE!</v>
      </c>
      <c r="BO19" s="123" t="e">
        <f>AND(Versiones!EZ14,"AAAAAG/5z0I=")</f>
        <v>#VALUE!</v>
      </c>
      <c r="BP19" s="123" t="e">
        <f>AND(Versiones!FA14,"AAAAAG/5z0M=")</f>
        <v>#VALUE!</v>
      </c>
      <c r="BQ19" s="123" t="e">
        <f>AND(Versiones!FB14,"AAAAAG/5z0Q=")</f>
        <v>#VALUE!</v>
      </c>
      <c r="BR19" s="123" t="e">
        <f>AND(Versiones!FC14,"AAAAAG/5z0U=")</f>
        <v>#VALUE!</v>
      </c>
      <c r="BS19" s="123" t="e">
        <f>AND(Versiones!FD14,"AAAAAG/5z0Y=")</f>
        <v>#VALUE!</v>
      </c>
      <c r="BT19" s="123" t="e">
        <f>AND(Versiones!FE14,"AAAAAG/5z0c=")</f>
        <v>#VALUE!</v>
      </c>
      <c r="BU19" s="123" t="e">
        <f>AND(Versiones!FF14,"AAAAAG/5z0g=")</f>
        <v>#VALUE!</v>
      </c>
      <c r="BV19" s="123" t="e">
        <f>AND(Versiones!FG14,"AAAAAG/5z0k=")</f>
        <v>#VALUE!</v>
      </c>
      <c r="BW19" s="123" t="e">
        <f>AND(Versiones!FH14,"AAAAAG/5z0o=")</f>
        <v>#VALUE!</v>
      </c>
      <c r="BX19" s="123" t="e">
        <f>AND(Versiones!FI14,"AAAAAG/5z0s=")</f>
        <v>#VALUE!</v>
      </c>
      <c r="BY19" s="123" t="e">
        <f>AND(Versiones!FJ14,"AAAAAG/5z0w=")</f>
        <v>#VALUE!</v>
      </c>
      <c r="BZ19" s="123" t="e">
        <f>AND(Versiones!FK14,"AAAAAG/5z00=")</f>
        <v>#VALUE!</v>
      </c>
      <c r="CA19" s="123" t="e">
        <f>AND(Versiones!FL14,"AAAAAG/5z04=")</f>
        <v>#VALUE!</v>
      </c>
      <c r="CB19" s="123" t="e">
        <f>AND(Versiones!FM14,"AAAAAG/5z08=")</f>
        <v>#VALUE!</v>
      </c>
      <c r="CC19" s="123" t="e">
        <f>AND(Versiones!FN14,"AAAAAG/5z1A=")</f>
        <v>#VALUE!</v>
      </c>
      <c r="CD19" s="123" t="e">
        <f>AND(Versiones!FO14,"AAAAAG/5z1E=")</f>
        <v>#VALUE!</v>
      </c>
      <c r="CE19" s="123" t="e">
        <f>AND(Versiones!FP14,"AAAAAG/5z1I=")</f>
        <v>#VALUE!</v>
      </c>
      <c r="CF19" s="123" t="e">
        <f>AND(Versiones!FQ14,"AAAAAG/5z1M=")</f>
        <v>#VALUE!</v>
      </c>
      <c r="CG19" s="123" t="e">
        <f>AND(Versiones!FR14,"AAAAAG/5z1Q=")</f>
        <v>#VALUE!</v>
      </c>
      <c r="CH19" s="123" t="e">
        <f>AND(Versiones!FS14,"AAAAAG/5z1U=")</f>
        <v>#VALUE!</v>
      </c>
      <c r="CI19" s="123" t="e">
        <f>AND(Versiones!FT14,"AAAAAG/5z1Y=")</f>
        <v>#VALUE!</v>
      </c>
      <c r="CJ19" s="123" t="e">
        <f>AND(Versiones!FU14,"AAAAAG/5z1c=")</f>
        <v>#VALUE!</v>
      </c>
      <c r="CK19" s="123" t="e">
        <f>AND(Versiones!FV14,"AAAAAG/5z1g=")</f>
        <v>#VALUE!</v>
      </c>
      <c r="CL19" s="123" t="e">
        <f>AND(Versiones!FW14,"AAAAAG/5z1k=")</f>
        <v>#VALUE!</v>
      </c>
      <c r="CM19" s="123" t="e">
        <f>AND(Versiones!FX14,"AAAAAG/5z1o=")</f>
        <v>#VALUE!</v>
      </c>
      <c r="CN19" s="123" t="e">
        <f>AND(Versiones!FY14,"AAAAAG/5z1s=")</f>
        <v>#VALUE!</v>
      </c>
      <c r="CO19" s="123" t="e">
        <f>AND(Versiones!FZ14,"AAAAAG/5z1w=")</f>
        <v>#VALUE!</v>
      </c>
      <c r="CP19" s="123" t="e">
        <f>AND(Versiones!GA14,"AAAAAG/5z10=")</f>
        <v>#VALUE!</v>
      </c>
      <c r="CQ19" s="123" t="e">
        <f>AND(Versiones!GB14,"AAAAAG/5z14=")</f>
        <v>#VALUE!</v>
      </c>
      <c r="CR19" s="123" t="e">
        <f>AND(Versiones!GC14,"AAAAAG/5z18=")</f>
        <v>#VALUE!</v>
      </c>
      <c r="CS19" s="123" t="e">
        <f>AND(Versiones!GD14,"AAAAAG/5z2A=")</f>
        <v>#VALUE!</v>
      </c>
      <c r="CT19" s="123" t="e">
        <f>AND(Versiones!GE14,"AAAAAG/5z2E=")</f>
        <v>#VALUE!</v>
      </c>
      <c r="CU19" s="123" t="e">
        <f>AND(Versiones!GF14,"AAAAAG/5z2I=")</f>
        <v>#VALUE!</v>
      </c>
      <c r="CV19" s="123" t="e">
        <f>AND(Versiones!GG14,"AAAAAG/5z2M=")</f>
        <v>#VALUE!</v>
      </c>
      <c r="CW19" s="123" t="e">
        <f>AND(Versiones!GH14,"AAAAAG/5z2Q=")</f>
        <v>#VALUE!</v>
      </c>
      <c r="CX19" s="123" t="e">
        <f>AND(Versiones!GI14,"AAAAAG/5z2U=")</f>
        <v>#VALUE!</v>
      </c>
      <c r="CY19" s="123" t="e">
        <f>AND(Versiones!GJ14,"AAAAAG/5z2Y=")</f>
        <v>#VALUE!</v>
      </c>
      <c r="CZ19" s="123" t="e">
        <f>AND(Versiones!GK14,"AAAAAG/5z2c=")</f>
        <v>#VALUE!</v>
      </c>
      <c r="DA19" s="123" t="e">
        <f>AND(Versiones!GL14,"AAAAAG/5z2g=")</f>
        <v>#VALUE!</v>
      </c>
      <c r="DB19" s="123" t="e">
        <f>AND(Versiones!GM14,"AAAAAG/5z2k=")</f>
        <v>#VALUE!</v>
      </c>
      <c r="DC19" s="123" t="e">
        <f>AND(Versiones!GN14,"AAAAAG/5z2o=")</f>
        <v>#VALUE!</v>
      </c>
      <c r="DD19" s="123" t="e">
        <f>AND(Versiones!GO14,"AAAAAG/5z2s=")</f>
        <v>#VALUE!</v>
      </c>
      <c r="DE19" s="123" t="e">
        <f>AND(Versiones!GP14,"AAAAAG/5z2w=")</f>
        <v>#VALUE!</v>
      </c>
      <c r="DF19" s="123" t="e">
        <f>AND(Versiones!GQ14,"AAAAAG/5z20=")</f>
        <v>#VALUE!</v>
      </c>
      <c r="DG19" s="123" t="e">
        <f>AND(Versiones!GR14,"AAAAAG/5z24=")</f>
        <v>#VALUE!</v>
      </c>
      <c r="DH19" s="123" t="e">
        <f>AND(Versiones!GS14,"AAAAAG/5z28=")</f>
        <v>#VALUE!</v>
      </c>
      <c r="DI19" s="123" t="e">
        <f>AND(Versiones!GT14,"AAAAAG/5z3A=")</f>
        <v>#VALUE!</v>
      </c>
      <c r="DJ19" s="123" t="e">
        <f>AND(Versiones!GU14,"AAAAAG/5z3E=")</f>
        <v>#VALUE!</v>
      </c>
      <c r="DK19" s="123" t="e">
        <f>AND(Versiones!GV14,"AAAAAG/5z3I=")</f>
        <v>#VALUE!</v>
      </c>
      <c r="DL19" s="123" t="e">
        <f>AND(Versiones!GW14,"AAAAAG/5z3M=")</f>
        <v>#VALUE!</v>
      </c>
      <c r="DM19" s="123" t="e">
        <f>AND(Versiones!GX14,"AAAAAG/5z3Q=")</f>
        <v>#VALUE!</v>
      </c>
      <c r="DN19" s="123" t="e">
        <f>AND(Versiones!GY14,"AAAAAG/5z3U=")</f>
        <v>#VALUE!</v>
      </c>
      <c r="DO19" s="123" t="e">
        <f>AND(Versiones!GZ14,"AAAAAG/5z3Y=")</f>
        <v>#VALUE!</v>
      </c>
      <c r="DP19" s="123" t="e">
        <f>AND(Versiones!HA14,"AAAAAG/5z3c=")</f>
        <v>#VALUE!</v>
      </c>
      <c r="DQ19" s="123" t="e">
        <f>AND(Versiones!HB14,"AAAAAG/5z3g=")</f>
        <v>#VALUE!</v>
      </c>
      <c r="DR19" s="123" t="e">
        <f>AND(Versiones!HC14,"AAAAAG/5z3k=")</f>
        <v>#VALUE!</v>
      </c>
      <c r="DS19" s="123" t="e">
        <f>AND(Versiones!HD14,"AAAAAG/5z3o=")</f>
        <v>#VALUE!</v>
      </c>
      <c r="DT19" s="123" t="e">
        <f>AND(Versiones!HE14,"AAAAAG/5z3s=")</f>
        <v>#VALUE!</v>
      </c>
      <c r="DU19" s="123" t="e">
        <f>AND(Versiones!HF14,"AAAAAG/5z3w=")</f>
        <v>#VALUE!</v>
      </c>
      <c r="DV19" s="123" t="e">
        <f>AND(Versiones!HG14,"AAAAAG/5z30=")</f>
        <v>#VALUE!</v>
      </c>
      <c r="DW19" s="123" t="e">
        <f>AND(Versiones!HH14,"AAAAAG/5z34=")</f>
        <v>#VALUE!</v>
      </c>
      <c r="DX19" s="123" t="e">
        <f>AND(Versiones!HI14,"AAAAAG/5z38=")</f>
        <v>#VALUE!</v>
      </c>
      <c r="DY19" s="123" t="e">
        <f ca="1">IF(_xlfn.SINGLE(Versiones!#REF!),"AAAAAG/5z4A=",0)</f>
        <v>#NAME?</v>
      </c>
      <c r="DZ19" s="123" t="e">
        <f>AND(Versiones!#REF!,"AAAAAG/5z4E=")</f>
        <v>#REF!</v>
      </c>
      <c r="EA19" s="123" t="e">
        <f>AND(Versiones!#REF!,"AAAAAG/5z4I=")</f>
        <v>#REF!</v>
      </c>
      <c r="EB19" s="123" t="e">
        <f>AND(Versiones!#REF!,"AAAAAG/5z4M=")</f>
        <v>#REF!</v>
      </c>
      <c r="EC19" s="123" t="e">
        <f>AND(Versiones!#REF!,"AAAAAG/5z4Q=")</f>
        <v>#REF!</v>
      </c>
      <c r="ED19" s="123" t="e">
        <f>AND(Versiones!#REF!,"AAAAAG/5z4U=")</f>
        <v>#REF!</v>
      </c>
      <c r="EE19" s="123" t="e">
        <f>AND(Versiones!#REF!,"AAAAAG/5z4Y=")</f>
        <v>#REF!</v>
      </c>
      <c r="EF19" s="123" t="e">
        <f>AND(Versiones!#REF!,"AAAAAG/5z4c=")</f>
        <v>#REF!</v>
      </c>
      <c r="EG19" s="123" t="e">
        <f>AND(Versiones!#REF!,"AAAAAG/5z4g=")</f>
        <v>#REF!</v>
      </c>
      <c r="EH19" s="123" t="e">
        <f>AND(Versiones!#REF!,"AAAAAG/5z4k=")</f>
        <v>#REF!</v>
      </c>
      <c r="EI19" s="123" t="e">
        <f>AND(Versiones!#REF!,"AAAAAG/5z4o=")</f>
        <v>#REF!</v>
      </c>
      <c r="EJ19" s="123" t="e">
        <f>AND(Versiones!#REF!,"AAAAAG/5z4s=")</f>
        <v>#REF!</v>
      </c>
      <c r="EK19" s="123" t="e">
        <f>AND(Versiones!#REF!,"AAAAAG/5z4w=")</f>
        <v>#REF!</v>
      </c>
      <c r="EL19" s="123" t="e">
        <f>AND(Versiones!#REF!,"AAAAAG/5z40=")</f>
        <v>#REF!</v>
      </c>
      <c r="EM19" s="123" t="e">
        <f>AND(Versiones!#REF!,"AAAAAG/5z44=")</f>
        <v>#REF!</v>
      </c>
      <c r="EN19" s="123" t="e">
        <f>AND(Versiones!#REF!,"AAAAAG/5z48=")</f>
        <v>#REF!</v>
      </c>
      <c r="EO19" s="123" t="e">
        <f>AND(Versiones!#REF!,"AAAAAG/5z5A=")</f>
        <v>#REF!</v>
      </c>
      <c r="EP19" s="123" t="e">
        <f>AND(Versiones!#REF!,"AAAAAG/5z5E=")</f>
        <v>#REF!</v>
      </c>
      <c r="EQ19" s="123" t="e">
        <f>AND(Versiones!#REF!,"AAAAAG/5z5I=")</f>
        <v>#REF!</v>
      </c>
      <c r="ER19" s="123" t="e">
        <f>AND(Versiones!#REF!,"AAAAAG/5z5M=")</f>
        <v>#REF!</v>
      </c>
      <c r="ES19" s="123" t="e">
        <f>AND(Versiones!#REF!,"AAAAAG/5z5Q=")</f>
        <v>#REF!</v>
      </c>
      <c r="ET19" s="123" t="e">
        <f>AND(Versiones!#REF!,"AAAAAG/5z5U=")</f>
        <v>#REF!</v>
      </c>
      <c r="EU19" s="123" t="e">
        <f>AND(Versiones!#REF!,"AAAAAG/5z5Y=")</f>
        <v>#REF!</v>
      </c>
      <c r="EV19" s="123" t="e">
        <f>AND(Versiones!#REF!,"AAAAAG/5z5c=")</f>
        <v>#REF!</v>
      </c>
      <c r="EW19" s="123" t="e">
        <f>AND(Versiones!#REF!,"AAAAAG/5z5g=")</f>
        <v>#REF!</v>
      </c>
      <c r="EX19" s="123" t="e">
        <f>AND(Versiones!#REF!,"AAAAAG/5z5k=")</f>
        <v>#REF!</v>
      </c>
      <c r="EY19" s="123" t="e">
        <f>AND(Versiones!#REF!,"AAAAAG/5z5o=")</f>
        <v>#REF!</v>
      </c>
      <c r="EZ19" s="123" t="e">
        <f>AND(Versiones!#REF!,"AAAAAG/5z5s=")</f>
        <v>#REF!</v>
      </c>
      <c r="FA19" s="123" t="e">
        <f>AND(Versiones!#REF!,"AAAAAG/5z5w=")</f>
        <v>#REF!</v>
      </c>
      <c r="FB19" s="123" t="e">
        <f>AND(Versiones!#REF!,"AAAAAG/5z50=")</f>
        <v>#REF!</v>
      </c>
      <c r="FC19" s="123" t="e">
        <f>AND(Versiones!#REF!,"AAAAAG/5z54=")</f>
        <v>#REF!</v>
      </c>
      <c r="FD19" s="123" t="e">
        <f>AND(Versiones!#REF!,"AAAAAG/5z58=")</f>
        <v>#REF!</v>
      </c>
      <c r="FE19" s="123" t="e">
        <f>AND(Versiones!#REF!,"AAAAAG/5z6A=")</f>
        <v>#REF!</v>
      </c>
      <c r="FF19" s="123" t="e">
        <f>AND(Versiones!#REF!,"AAAAAG/5z6E=")</f>
        <v>#REF!</v>
      </c>
      <c r="FG19" s="123" t="e">
        <f>AND(Versiones!#REF!,"AAAAAG/5z6I=")</f>
        <v>#REF!</v>
      </c>
      <c r="FH19" s="123" t="e">
        <f>AND(Versiones!#REF!,"AAAAAG/5z6M=")</f>
        <v>#REF!</v>
      </c>
      <c r="FI19" s="123" t="e">
        <f>AND(Versiones!#REF!,"AAAAAG/5z6Q=")</f>
        <v>#REF!</v>
      </c>
      <c r="FJ19" s="123" t="e">
        <f>AND(Versiones!#REF!,"AAAAAG/5z6U=")</f>
        <v>#REF!</v>
      </c>
      <c r="FK19" s="123" t="e">
        <f>AND(Versiones!#REF!,"AAAAAG/5z6Y=")</f>
        <v>#REF!</v>
      </c>
      <c r="FL19" s="123" t="e">
        <f>AND(Versiones!#REF!,"AAAAAG/5z6c=")</f>
        <v>#REF!</v>
      </c>
      <c r="FM19" s="123" t="e">
        <f>AND(Versiones!#REF!,"AAAAAG/5z6g=")</f>
        <v>#REF!</v>
      </c>
      <c r="FN19" s="123" t="e">
        <f>AND(Versiones!#REF!,"AAAAAG/5z6k=")</f>
        <v>#REF!</v>
      </c>
      <c r="FO19" s="123" t="e">
        <f>AND(Versiones!#REF!,"AAAAAG/5z6o=")</f>
        <v>#REF!</v>
      </c>
      <c r="FP19" s="123" t="e">
        <f>AND(Versiones!#REF!,"AAAAAG/5z6s=")</f>
        <v>#REF!</v>
      </c>
      <c r="FQ19" s="123" t="e">
        <f>AND(Versiones!#REF!,"AAAAAG/5z6w=")</f>
        <v>#REF!</v>
      </c>
      <c r="FR19" s="123" t="e">
        <f>AND(Versiones!#REF!,"AAAAAG/5z60=")</f>
        <v>#REF!</v>
      </c>
      <c r="FS19" s="123" t="e">
        <f>AND(Versiones!#REF!,"AAAAAG/5z64=")</f>
        <v>#REF!</v>
      </c>
      <c r="FT19" s="123" t="e">
        <f>AND(Versiones!#REF!,"AAAAAG/5z68=")</f>
        <v>#REF!</v>
      </c>
      <c r="FU19" s="123" t="e">
        <f>AND(Versiones!#REF!,"AAAAAG/5z7A=")</f>
        <v>#REF!</v>
      </c>
      <c r="FV19" s="123" t="e">
        <f>AND(Versiones!#REF!,"AAAAAG/5z7E=")</f>
        <v>#REF!</v>
      </c>
      <c r="FW19" s="123" t="e">
        <f>AND(Versiones!#REF!,"AAAAAG/5z7I=")</f>
        <v>#REF!</v>
      </c>
      <c r="FX19" s="123" t="e">
        <f>AND(Versiones!#REF!,"AAAAAG/5z7M=")</f>
        <v>#REF!</v>
      </c>
      <c r="FY19" s="123" t="e">
        <f>AND(Versiones!#REF!,"AAAAAG/5z7Q=")</f>
        <v>#REF!</v>
      </c>
      <c r="FZ19" s="123" t="e">
        <f>AND(Versiones!#REF!,"AAAAAG/5z7U=")</f>
        <v>#REF!</v>
      </c>
      <c r="GA19" s="123" t="e">
        <f>AND(Versiones!#REF!,"AAAAAG/5z7Y=")</f>
        <v>#REF!</v>
      </c>
      <c r="GB19" s="123" t="e">
        <f>AND(Versiones!#REF!,"AAAAAG/5z7c=")</f>
        <v>#REF!</v>
      </c>
      <c r="GC19" s="123" t="e">
        <f>AND(Versiones!#REF!,"AAAAAG/5z7g=")</f>
        <v>#REF!</v>
      </c>
      <c r="GD19" s="123" t="e">
        <f>AND(Versiones!#REF!,"AAAAAG/5z7k=")</f>
        <v>#REF!</v>
      </c>
      <c r="GE19" s="123" t="e">
        <f>AND(Versiones!#REF!,"AAAAAG/5z7o=")</f>
        <v>#REF!</v>
      </c>
      <c r="GF19" s="123" t="e">
        <f>AND(Versiones!#REF!,"AAAAAG/5z7s=")</f>
        <v>#REF!</v>
      </c>
      <c r="GG19" s="123" t="e">
        <f>AND(Versiones!#REF!,"AAAAAG/5z7w=")</f>
        <v>#REF!</v>
      </c>
      <c r="GH19" s="123" t="e">
        <f>AND(Versiones!#REF!,"AAAAAG/5z70=")</f>
        <v>#REF!</v>
      </c>
      <c r="GI19" s="123" t="e">
        <f>AND(Versiones!#REF!,"AAAAAG/5z74=")</f>
        <v>#REF!</v>
      </c>
      <c r="GJ19" s="123" t="e">
        <f>AND(Versiones!#REF!,"AAAAAG/5z78=")</f>
        <v>#REF!</v>
      </c>
      <c r="GK19" s="123" t="e">
        <f>AND(Versiones!#REF!,"AAAAAG/5z8A=")</f>
        <v>#REF!</v>
      </c>
      <c r="GL19" s="123" t="e">
        <f>AND(Versiones!#REF!,"AAAAAG/5z8E=")</f>
        <v>#REF!</v>
      </c>
      <c r="GM19" s="123" t="e">
        <f>AND(Versiones!#REF!,"AAAAAG/5z8I=")</f>
        <v>#REF!</v>
      </c>
      <c r="GN19" s="123" t="e">
        <f>AND(Versiones!#REF!,"AAAAAG/5z8M=")</f>
        <v>#REF!</v>
      </c>
      <c r="GO19" s="123" t="e">
        <f>AND(Versiones!#REF!,"AAAAAG/5z8Q=")</f>
        <v>#REF!</v>
      </c>
      <c r="GP19" s="123" t="e">
        <f>AND(Versiones!#REF!,"AAAAAG/5z8U=")</f>
        <v>#REF!</v>
      </c>
      <c r="GQ19" s="123" t="e">
        <f>AND(Versiones!#REF!,"AAAAAG/5z8Y=")</f>
        <v>#REF!</v>
      </c>
      <c r="GR19" s="123" t="e">
        <f>AND(Versiones!#REF!,"AAAAAG/5z8c=")</f>
        <v>#REF!</v>
      </c>
      <c r="GS19" s="123" t="e">
        <f>AND(Versiones!#REF!,"AAAAAG/5z8g=")</f>
        <v>#REF!</v>
      </c>
      <c r="GT19" s="123" t="e">
        <f>AND(Versiones!#REF!,"AAAAAG/5z8k=")</f>
        <v>#REF!</v>
      </c>
      <c r="GU19" s="123" t="e">
        <f>AND(Versiones!#REF!,"AAAAAG/5z8o=")</f>
        <v>#REF!</v>
      </c>
      <c r="GV19" s="123" t="e">
        <f>AND(Versiones!#REF!,"AAAAAG/5z8s=")</f>
        <v>#REF!</v>
      </c>
      <c r="GW19" s="123" t="e">
        <f>AND(Versiones!#REF!,"AAAAAG/5z8w=")</f>
        <v>#REF!</v>
      </c>
      <c r="GX19" s="123" t="e">
        <f>AND(Versiones!#REF!,"AAAAAG/5z80=")</f>
        <v>#REF!</v>
      </c>
      <c r="GY19" s="123" t="e">
        <f>AND(Versiones!#REF!,"AAAAAG/5z84=")</f>
        <v>#REF!</v>
      </c>
      <c r="GZ19" s="123" t="e">
        <f>AND(Versiones!#REF!,"AAAAAG/5z88=")</f>
        <v>#REF!</v>
      </c>
      <c r="HA19" s="123" t="e">
        <f>AND(Versiones!#REF!,"AAAAAG/5z9A=")</f>
        <v>#REF!</v>
      </c>
      <c r="HB19" s="123" t="e">
        <f>AND(Versiones!#REF!,"AAAAAG/5z9E=")</f>
        <v>#REF!</v>
      </c>
      <c r="HC19" s="123" t="e">
        <f>AND(Versiones!#REF!,"AAAAAG/5z9I=")</f>
        <v>#REF!</v>
      </c>
      <c r="HD19" s="123" t="e">
        <f>AND(Versiones!#REF!,"AAAAAG/5z9M=")</f>
        <v>#REF!</v>
      </c>
      <c r="HE19" s="123" t="e">
        <f>AND(Versiones!#REF!,"AAAAAG/5z9Q=")</f>
        <v>#REF!</v>
      </c>
      <c r="HF19" s="123" t="e">
        <f>AND(Versiones!#REF!,"AAAAAG/5z9U=")</f>
        <v>#REF!</v>
      </c>
      <c r="HG19" s="123" t="e">
        <f>AND(Versiones!#REF!,"AAAAAG/5z9Y=")</f>
        <v>#REF!</v>
      </c>
      <c r="HH19" s="123" t="e">
        <f>AND(Versiones!#REF!,"AAAAAG/5z9c=")</f>
        <v>#REF!</v>
      </c>
      <c r="HI19" s="123" t="e">
        <f>AND(Versiones!#REF!,"AAAAAG/5z9g=")</f>
        <v>#REF!</v>
      </c>
      <c r="HJ19" s="123" t="e">
        <f>AND(Versiones!#REF!,"AAAAAG/5z9k=")</f>
        <v>#REF!</v>
      </c>
      <c r="HK19" s="123" t="e">
        <f>AND(Versiones!#REF!,"AAAAAG/5z9o=")</f>
        <v>#REF!</v>
      </c>
      <c r="HL19" s="123" t="e">
        <f>AND(Versiones!#REF!,"AAAAAG/5z9s=")</f>
        <v>#REF!</v>
      </c>
      <c r="HM19" s="123" t="e">
        <f>AND(Versiones!#REF!,"AAAAAG/5z9w=")</f>
        <v>#REF!</v>
      </c>
      <c r="HN19" s="123" t="e">
        <f>AND(Versiones!#REF!,"AAAAAG/5z90=")</f>
        <v>#REF!</v>
      </c>
      <c r="HO19" s="123" t="e">
        <f>AND(Versiones!#REF!,"AAAAAG/5z94=")</f>
        <v>#REF!</v>
      </c>
      <c r="HP19" s="123" t="e">
        <f>AND(Versiones!#REF!,"AAAAAG/5z98=")</f>
        <v>#REF!</v>
      </c>
      <c r="HQ19" s="123" t="e">
        <f>AND(Versiones!#REF!,"AAAAAG/5z+A=")</f>
        <v>#REF!</v>
      </c>
      <c r="HR19" s="123" t="e">
        <f>AND(Versiones!#REF!,"AAAAAG/5z+E=")</f>
        <v>#REF!</v>
      </c>
      <c r="HS19" s="123" t="e">
        <f>AND(Versiones!#REF!,"AAAAAG/5z+I=")</f>
        <v>#REF!</v>
      </c>
      <c r="HT19" s="123" t="e">
        <f>AND(Versiones!#REF!,"AAAAAG/5z+M=")</f>
        <v>#REF!</v>
      </c>
      <c r="HU19" s="123" t="e">
        <f>AND(Versiones!#REF!,"AAAAAG/5z+Q=")</f>
        <v>#REF!</v>
      </c>
      <c r="HV19" s="123" t="e">
        <f>AND(Versiones!#REF!,"AAAAAG/5z+U=")</f>
        <v>#REF!</v>
      </c>
      <c r="HW19" s="123" t="e">
        <f>AND(Versiones!#REF!,"AAAAAG/5z+Y=")</f>
        <v>#REF!</v>
      </c>
      <c r="HX19" s="123" t="e">
        <f>AND(Versiones!#REF!,"AAAAAG/5z+c=")</f>
        <v>#REF!</v>
      </c>
      <c r="HY19" s="123" t="e">
        <f>AND(Versiones!#REF!,"AAAAAG/5z+g=")</f>
        <v>#REF!</v>
      </c>
      <c r="HZ19" s="123" t="e">
        <f>AND(Versiones!#REF!,"AAAAAG/5z+k=")</f>
        <v>#REF!</v>
      </c>
      <c r="IA19" s="123" t="e">
        <f>AND(Versiones!#REF!,"AAAAAG/5z+o=")</f>
        <v>#REF!</v>
      </c>
      <c r="IB19" s="123" t="e">
        <f>AND(Versiones!#REF!,"AAAAAG/5z+s=")</f>
        <v>#REF!</v>
      </c>
      <c r="IC19" s="123" t="e">
        <f>AND(Versiones!#REF!,"AAAAAG/5z+w=")</f>
        <v>#REF!</v>
      </c>
      <c r="ID19" s="123" t="e">
        <f>AND(Versiones!#REF!,"AAAAAG/5z+0=")</f>
        <v>#REF!</v>
      </c>
      <c r="IE19" s="123" t="e">
        <f>AND(Versiones!#REF!,"AAAAAG/5z+4=")</f>
        <v>#REF!</v>
      </c>
      <c r="IF19" s="123" t="e">
        <f>AND(Versiones!#REF!,"AAAAAG/5z+8=")</f>
        <v>#REF!</v>
      </c>
      <c r="IG19" s="123" t="e">
        <f>AND(Versiones!#REF!,"AAAAAG/5z/A=")</f>
        <v>#REF!</v>
      </c>
      <c r="IH19" s="123" t="e">
        <f>AND(Versiones!#REF!,"AAAAAG/5z/E=")</f>
        <v>#REF!</v>
      </c>
      <c r="II19" s="123" t="e">
        <f>AND(Versiones!#REF!,"AAAAAG/5z/I=")</f>
        <v>#REF!</v>
      </c>
      <c r="IJ19" s="123" t="e">
        <f>AND(Versiones!#REF!,"AAAAAG/5z/M=")</f>
        <v>#REF!</v>
      </c>
      <c r="IK19" s="123" t="e">
        <f>AND(Versiones!#REF!,"AAAAAG/5z/Q=")</f>
        <v>#REF!</v>
      </c>
      <c r="IL19" s="123" t="e">
        <f>AND(Versiones!#REF!,"AAAAAG/5z/U=")</f>
        <v>#REF!</v>
      </c>
      <c r="IM19" s="123" t="e">
        <f>AND(Versiones!#REF!,"AAAAAG/5z/Y=")</f>
        <v>#REF!</v>
      </c>
      <c r="IN19" s="123" t="e">
        <f>AND(Versiones!#REF!,"AAAAAG/5z/c=")</f>
        <v>#REF!</v>
      </c>
      <c r="IO19" s="123" t="e">
        <f>AND(Versiones!#REF!,"AAAAAG/5z/g=")</f>
        <v>#REF!</v>
      </c>
      <c r="IP19" s="123" t="e">
        <f>AND(Versiones!#REF!,"AAAAAG/5z/k=")</f>
        <v>#REF!</v>
      </c>
      <c r="IQ19" s="123" t="e">
        <f>AND(Versiones!#REF!,"AAAAAG/5z/o=")</f>
        <v>#REF!</v>
      </c>
      <c r="IR19" s="123" t="e">
        <f>AND(Versiones!#REF!,"AAAAAG/5z/s=")</f>
        <v>#REF!</v>
      </c>
      <c r="IS19" s="123" t="e">
        <f>AND(Versiones!#REF!,"AAAAAG/5z/w=")</f>
        <v>#REF!</v>
      </c>
      <c r="IT19" s="123" t="e">
        <f>AND(Versiones!#REF!,"AAAAAG/5z/0=")</f>
        <v>#REF!</v>
      </c>
      <c r="IU19" s="123" t="e">
        <f>AND(Versiones!#REF!,"AAAAAG/5z/4=")</f>
        <v>#REF!</v>
      </c>
      <c r="IV19" s="123" t="e">
        <f>AND(Versiones!#REF!,"AAAAAG/5z/8=")</f>
        <v>#REF!</v>
      </c>
    </row>
    <row r="20" spans="1:256" ht="14.4">
      <c r="A20" s="123" t="e">
        <f>AND(Versiones!#REF!,"AAAAABpLdQA=")</f>
        <v>#REF!</v>
      </c>
      <c r="B20" s="123" t="e">
        <f>AND(Versiones!#REF!,"AAAAABpLdQE=")</f>
        <v>#REF!</v>
      </c>
      <c r="C20" s="123" t="e">
        <f>AND(Versiones!#REF!,"AAAAABpLdQI=")</f>
        <v>#REF!</v>
      </c>
      <c r="D20" s="123" t="e">
        <f>AND(Versiones!#REF!,"AAAAABpLdQM=")</f>
        <v>#REF!</v>
      </c>
      <c r="E20" s="123" t="e">
        <f>AND(Versiones!#REF!,"AAAAABpLdQQ=")</f>
        <v>#REF!</v>
      </c>
      <c r="F20" s="123" t="e">
        <f>AND(Versiones!#REF!,"AAAAABpLdQU=")</f>
        <v>#REF!</v>
      </c>
      <c r="G20" s="123" t="e">
        <f>AND(Versiones!#REF!,"AAAAABpLdQY=")</f>
        <v>#REF!</v>
      </c>
      <c r="H20" s="123" t="e">
        <f>AND(Versiones!#REF!,"AAAAABpLdQc=")</f>
        <v>#REF!</v>
      </c>
      <c r="I20" s="123" t="e">
        <f>AND(Versiones!#REF!,"AAAAABpLdQg=")</f>
        <v>#REF!</v>
      </c>
      <c r="J20" s="123" t="e">
        <f>AND(Versiones!#REF!,"AAAAABpLdQk=")</f>
        <v>#REF!</v>
      </c>
      <c r="K20" s="123" t="e">
        <f>AND(Versiones!#REF!,"AAAAABpLdQo=")</f>
        <v>#REF!</v>
      </c>
      <c r="L20" s="123" t="e">
        <f>AND(Versiones!#REF!,"AAAAABpLdQs=")</f>
        <v>#REF!</v>
      </c>
      <c r="M20" s="123" t="e">
        <f>AND(Versiones!#REF!,"AAAAABpLdQw=")</f>
        <v>#REF!</v>
      </c>
      <c r="N20" s="123" t="e">
        <f>AND(Versiones!#REF!,"AAAAABpLdQ0=")</f>
        <v>#REF!</v>
      </c>
      <c r="O20" s="123" t="e">
        <f>AND(Versiones!#REF!,"AAAAABpLdQ4=")</f>
        <v>#REF!</v>
      </c>
      <c r="P20" s="123" t="e">
        <f>AND(Versiones!#REF!,"AAAAABpLdQ8=")</f>
        <v>#REF!</v>
      </c>
      <c r="Q20" s="123" t="e">
        <f>AND(Versiones!#REF!,"AAAAABpLdRA=")</f>
        <v>#REF!</v>
      </c>
      <c r="R20" s="123" t="e">
        <f>AND(Versiones!#REF!,"AAAAABpLdRE=")</f>
        <v>#REF!</v>
      </c>
      <c r="S20" s="123" t="e">
        <f>AND(Versiones!#REF!,"AAAAABpLdRI=")</f>
        <v>#REF!</v>
      </c>
      <c r="T20" s="123" t="e">
        <f>AND(Versiones!#REF!,"AAAAABpLdRM=")</f>
        <v>#REF!</v>
      </c>
      <c r="U20" s="123" t="e">
        <f>AND(Versiones!#REF!,"AAAAABpLdRQ=")</f>
        <v>#REF!</v>
      </c>
      <c r="V20" s="123" t="e">
        <f>AND(Versiones!#REF!,"AAAAABpLdRU=")</f>
        <v>#REF!</v>
      </c>
      <c r="W20" s="123" t="e">
        <f>AND(Versiones!#REF!,"AAAAABpLdRY=")</f>
        <v>#REF!</v>
      </c>
      <c r="X20" s="123" t="e">
        <f>AND(Versiones!#REF!,"AAAAABpLdRc=")</f>
        <v>#REF!</v>
      </c>
      <c r="Y20" s="123" t="e">
        <f>AND(Versiones!#REF!,"AAAAABpLdRg=")</f>
        <v>#REF!</v>
      </c>
      <c r="Z20" s="123" t="e">
        <f>AND(Versiones!#REF!,"AAAAABpLdRk=")</f>
        <v>#REF!</v>
      </c>
      <c r="AA20" s="123" t="e">
        <f>AND(Versiones!#REF!,"AAAAABpLdRo=")</f>
        <v>#REF!</v>
      </c>
      <c r="AB20" s="123" t="e">
        <f>AND(Versiones!#REF!,"AAAAABpLdRs=")</f>
        <v>#REF!</v>
      </c>
      <c r="AC20" s="123" t="e">
        <f>AND(Versiones!#REF!,"AAAAABpLdRw=")</f>
        <v>#REF!</v>
      </c>
      <c r="AD20" s="123" t="e">
        <f>AND(Versiones!#REF!,"AAAAABpLdR0=")</f>
        <v>#REF!</v>
      </c>
      <c r="AE20" s="123" t="e">
        <f>AND(Versiones!#REF!,"AAAAABpLdR4=")</f>
        <v>#REF!</v>
      </c>
      <c r="AF20" s="123" t="e">
        <f>AND(Versiones!#REF!,"AAAAABpLdR8=")</f>
        <v>#REF!</v>
      </c>
      <c r="AG20" s="123" t="e">
        <f>AND(Versiones!#REF!,"AAAAABpLdSA=")</f>
        <v>#REF!</v>
      </c>
      <c r="AH20" s="123" t="e">
        <f>AND(Versiones!#REF!,"AAAAABpLdSE=")</f>
        <v>#REF!</v>
      </c>
      <c r="AI20" s="123" t="e">
        <f>AND(Versiones!#REF!,"AAAAABpLdSI=")</f>
        <v>#REF!</v>
      </c>
      <c r="AJ20" s="123" t="e">
        <f>AND(Versiones!#REF!,"AAAAABpLdSM=")</f>
        <v>#REF!</v>
      </c>
      <c r="AK20" s="123" t="e">
        <f>AND(Versiones!#REF!,"AAAAABpLdSQ=")</f>
        <v>#REF!</v>
      </c>
      <c r="AL20" s="123" t="e">
        <f>AND(Versiones!#REF!,"AAAAABpLdSU=")</f>
        <v>#REF!</v>
      </c>
      <c r="AM20" s="123" t="e">
        <f>AND(Versiones!#REF!,"AAAAABpLdSY=")</f>
        <v>#REF!</v>
      </c>
      <c r="AN20" s="123" t="e">
        <f>AND(Versiones!#REF!,"AAAAABpLdSc=")</f>
        <v>#REF!</v>
      </c>
      <c r="AO20" s="123" t="e">
        <f>AND(Versiones!#REF!,"AAAAABpLdSg=")</f>
        <v>#REF!</v>
      </c>
      <c r="AP20" s="123" t="e">
        <f>AND(Versiones!#REF!,"AAAAABpLdSk=")</f>
        <v>#REF!</v>
      </c>
      <c r="AQ20" s="123" t="e">
        <f>AND(Versiones!#REF!,"AAAAABpLdSo=")</f>
        <v>#REF!</v>
      </c>
      <c r="AR20" s="123" t="e">
        <f>AND(Versiones!#REF!,"AAAAABpLdSs=")</f>
        <v>#REF!</v>
      </c>
      <c r="AS20" s="123" t="e">
        <f>AND(Versiones!#REF!,"AAAAABpLdSw=")</f>
        <v>#REF!</v>
      </c>
      <c r="AT20" s="123" t="e">
        <f>AND(Versiones!#REF!,"AAAAABpLdS0=")</f>
        <v>#REF!</v>
      </c>
      <c r="AU20" s="123" t="e">
        <f>AND(Versiones!#REF!,"AAAAABpLdS4=")</f>
        <v>#REF!</v>
      </c>
      <c r="AV20" s="123" t="e">
        <f>AND(Versiones!#REF!,"AAAAABpLdS8=")</f>
        <v>#REF!</v>
      </c>
      <c r="AW20" s="123" t="e">
        <f>AND(Versiones!#REF!,"AAAAABpLdTA=")</f>
        <v>#REF!</v>
      </c>
      <c r="AX20" s="123" t="e">
        <f>AND(Versiones!#REF!,"AAAAABpLdTE=")</f>
        <v>#REF!</v>
      </c>
      <c r="AY20" s="123" t="e">
        <f>AND(Versiones!#REF!,"AAAAABpLdTI=")</f>
        <v>#REF!</v>
      </c>
      <c r="AZ20" s="123" t="e">
        <f>AND(Versiones!#REF!,"AAAAABpLdTM=")</f>
        <v>#REF!</v>
      </c>
      <c r="BA20" s="123" t="e">
        <f>AND(Versiones!#REF!,"AAAAABpLdTQ=")</f>
        <v>#REF!</v>
      </c>
      <c r="BB20" s="123" t="e">
        <f>AND(Versiones!#REF!,"AAAAABpLdTU=")</f>
        <v>#REF!</v>
      </c>
      <c r="BC20" s="123" t="e">
        <f>AND(Versiones!#REF!,"AAAAABpLdTY=")</f>
        <v>#REF!</v>
      </c>
      <c r="BD20" s="123" t="e">
        <f>AND(Versiones!#REF!,"AAAAABpLdTc=")</f>
        <v>#REF!</v>
      </c>
      <c r="BE20" s="123" t="e">
        <f>AND(Versiones!#REF!,"AAAAABpLdTg=")</f>
        <v>#REF!</v>
      </c>
      <c r="BF20" s="123" t="e">
        <f>AND(Versiones!#REF!,"AAAAABpLdTk=")</f>
        <v>#REF!</v>
      </c>
      <c r="BG20" s="123" t="e">
        <f>AND(Versiones!#REF!,"AAAAABpLdTo=")</f>
        <v>#REF!</v>
      </c>
      <c r="BH20" s="123" t="e">
        <f>AND(Versiones!#REF!,"AAAAABpLdTs=")</f>
        <v>#REF!</v>
      </c>
      <c r="BI20" s="123" t="e">
        <f>AND(Versiones!#REF!,"AAAAABpLdTw=")</f>
        <v>#REF!</v>
      </c>
      <c r="BJ20" s="123" t="e">
        <f>AND(Versiones!#REF!,"AAAAABpLdT0=")</f>
        <v>#REF!</v>
      </c>
      <c r="BK20" s="123" t="e">
        <f>AND(Versiones!#REF!,"AAAAABpLdT4=")</f>
        <v>#REF!</v>
      </c>
      <c r="BL20" s="123" t="e">
        <f>AND(Versiones!#REF!,"AAAAABpLdT8=")</f>
        <v>#REF!</v>
      </c>
      <c r="BM20" s="123" t="e">
        <f>AND(Versiones!#REF!,"AAAAABpLdUA=")</f>
        <v>#REF!</v>
      </c>
      <c r="BN20" s="123" t="e">
        <f>AND(Versiones!#REF!,"AAAAABpLdUE=")</f>
        <v>#REF!</v>
      </c>
      <c r="BO20" s="123" t="e">
        <f>AND(Versiones!#REF!,"AAAAABpLdUI=")</f>
        <v>#REF!</v>
      </c>
      <c r="BP20" s="123" t="e">
        <f>AND(Versiones!#REF!,"AAAAABpLdUM=")</f>
        <v>#REF!</v>
      </c>
      <c r="BQ20" s="123" t="e">
        <f>AND(Versiones!#REF!,"AAAAABpLdUQ=")</f>
        <v>#REF!</v>
      </c>
      <c r="BR20" s="123" t="e">
        <f>AND(Versiones!#REF!,"AAAAABpLdUU=")</f>
        <v>#REF!</v>
      </c>
      <c r="BS20" s="123" t="e">
        <f>AND(Versiones!#REF!,"AAAAABpLdUY=")</f>
        <v>#REF!</v>
      </c>
      <c r="BT20" s="123" t="e">
        <f>AND(Versiones!#REF!,"AAAAABpLdUc=")</f>
        <v>#REF!</v>
      </c>
      <c r="BU20" s="123" t="e">
        <f>AND(Versiones!#REF!,"AAAAABpLdUg=")</f>
        <v>#REF!</v>
      </c>
      <c r="BV20" s="123" t="e">
        <f>AND(Versiones!#REF!,"AAAAABpLdUk=")</f>
        <v>#REF!</v>
      </c>
      <c r="BW20" s="123" t="e">
        <f>AND(Versiones!#REF!,"AAAAABpLdUo=")</f>
        <v>#REF!</v>
      </c>
      <c r="BX20" s="123" t="e">
        <f>AND(Versiones!#REF!,"AAAAABpLdUs=")</f>
        <v>#REF!</v>
      </c>
      <c r="BY20" s="123" t="e">
        <f>AND(Versiones!#REF!,"AAAAABpLdUw=")</f>
        <v>#REF!</v>
      </c>
      <c r="BZ20" s="123" t="e">
        <f>AND(Versiones!#REF!,"AAAAABpLdU0=")</f>
        <v>#REF!</v>
      </c>
      <c r="CA20" s="123" t="e">
        <f>AND(Versiones!#REF!,"AAAAABpLdU4=")</f>
        <v>#REF!</v>
      </c>
      <c r="CB20" s="123" t="e">
        <f>AND(Versiones!#REF!,"AAAAABpLdU8=")</f>
        <v>#REF!</v>
      </c>
      <c r="CC20" s="123" t="e">
        <f>AND(Versiones!#REF!,"AAAAABpLdVA=")</f>
        <v>#REF!</v>
      </c>
      <c r="CD20" s="123" t="e">
        <f>AND(Versiones!#REF!,"AAAAABpLdVE=")</f>
        <v>#REF!</v>
      </c>
      <c r="CE20" s="123" t="e">
        <f>AND(Versiones!#REF!,"AAAAABpLdVI=")</f>
        <v>#REF!</v>
      </c>
      <c r="CF20" s="123" t="e">
        <f>AND(Versiones!#REF!,"AAAAABpLdVM=")</f>
        <v>#REF!</v>
      </c>
      <c r="CG20" s="123" t="e">
        <f>AND(Versiones!#REF!,"AAAAABpLdVQ=")</f>
        <v>#REF!</v>
      </c>
      <c r="CH20" s="123" t="e">
        <f>AND(Versiones!#REF!,"AAAAABpLdVU=")</f>
        <v>#REF!</v>
      </c>
      <c r="CI20" s="123" t="e">
        <f>AND(Versiones!#REF!,"AAAAABpLdVY=")</f>
        <v>#REF!</v>
      </c>
      <c r="CJ20" s="123" t="e">
        <f>AND(Versiones!#REF!,"AAAAABpLdVc=")</f>
        <v>#REF!</v>
      </c>
      <c r="CK20" s="123" t="e">
        <f>AND(Versiones!#REF!,"AAAAABpLdVg=")</f>
        <v>#REF!</v>
      </c>
      <c r="CL20" s="123" t="e">
        <f>AND(Versiones!#REF!,"AAAAABpLdVk=")</f>
        <v>#REF!</v>
      </c>
      <c r="CM20" s="123" t="e">
        <f>AND(Versiones!#REF!,"AAAAABpLdVo=")</f>
        <v>#REF!</v>
      </c>
      <c r="CN20" s="123" t="e">
        <f ca="1">IF(_xlfn.SINGLE(Versiones!#REF!),"AAAAABpLdVs=",0)</f>
        <v>#NAME?</v>
      </c>
      <c r="CO20" s="123" t="e">
        <f>AND(Versiones!#REF!,"AAAAABpLdVw=")</f>
        <v>#REF!</v>
      </c>
      <c r="CP20" s="123" t="e">
        <f>AND(Versiones!#REF!,"AAAAABpLdV0=")</f>
        <v>#REF!</v>
      </c>
      <c r="CQ20" s="123" t="e">
        <f>AND(Versiones!#REF!,"AAAAABpLdV4=")</f>
        <v>#REF!</v>
      </c>
      <c r="CR20" s="123" t="e">
        <f>AND(Versiones!#REF!,"AAAAABpLdV8=")</f>
        <v>#REF!</v>
      </c>
      <c r="CS20" s="123" t="e">
        <f>AND(Versiones!#REF!,"AAAAABpLdWA=")</f>
        <v>#REF!</v>
      </c>
      <c r="CT20" s="123" t="e">
        <f>AND(Versiones!#REF!,"AAAAABpLdWE=")</f>
        <v>#REF!</v>
      </c>
      <c r="CU20" s="123" t="e">
        <f>AND(Versiones!#REF!,"AAAAABpLdWI=")</f>
        <v>#REF!</v>
      </c>
      <c r="CV20" s="123" t="e">
        <f>AND(Versiones!#REF!,"AAAAABpLdWM=")</f>
        <v>#REF!</v>
      </c>
      <c r="CW20" s="123" t="e">
        <f>AND(Versiones!#REF!,"AAAAABpLdWQ=")</f>
        <v>#REF!</v>
      </c>
      <c r="CX20" s="123" t="e">
        <f>AND(Versiones!#REF!,"AAAAABpLdWU=")</f>
        <v>#REF!</v>
      </c>
      <c r="CY20" s="123" t="e">
        <f>AND(Versiones!#REF!,"AAAAABpLdWY=")</f>
        <v>#REF!</v>
      </c>
      <c r="CZ20" s="123" t="e">
        <f>AND(Versiones!#REF!,"AAAAABpLdWc=")</f>
        <v>#REF!</v>
      </c>
      <c r="DA20" s="123" t="e">
        <f>AND(Versiones!#REF!,"AAAAABpLdWg=")</f>
        <v>#REF!</v>
      </c>
      <c r="DB20" s="123" t="e">
        <f>AND(Versiones!#REF!,"AAAAABpLdWk=")</f>
        <v>#REF!</v>
      </c>
      <c r="DC20" s="123" t="e">
        <f>AND(Versiones!#REF!,"AAAAABpLdWo=")</f>
        <v>#REF!</v>
      </c>
      <c r="DD20" s="123" t="e">
        <f>AND(Versiones!#REF!,"AAAAABpLdWs=")</f>
        <v>#REF!</v>
      </c>
      <c r="DE20" s="123" t="e">
        <f>AND(Versiones!#REF!,"AAAAABpLdWw=")</f>
        <v>#REF!</v>
      </c>
      <c r="DF20" s="123" t="e">
        <f>AND(Versiones!#REF!,"AAAAABpLdW0=")</f>
        <v>#REF!</v>
      </c>
      <c r="DG20" s="123" t="e">
        <f>AND(Versiones!#REF!,"AAAAABpLdW4=")</f>
        <v>#REF!</v>
      </c>
      <c r="DH20" s="123" t="e">
        <f>AND(Versiones!#REF!,"AAAAABpLdW8=")</f>
        <v>#REF!</v>
      </c>
      <c r="DI20" s="123" t="e">
        <f>AND(Versiones!#REF!,"AAAAABpLdXA=")</f>
        <v>#REF!</v>
      </c>
      <c r="DJ20" s="123" t="e">
        <f>AND(Versiones!#REF!,"AAAAABpLdXE=")</f>
        <v>#REF!</v>
      </c>
      <c r="DK20" s="123" t="e">
        <f>AND(Versiones!#REF!,"AAAAABpLdXI=")</f>
        <v>#REF!</v>
      </c>
      <c r="DL20" s="123" t="e">
        <f>AND(Versiones!#REF!,"AAAAABpLdXM=")</f>
        <v>#REF!</v>
      </c>
      <c r="DM20" s="123" t="e">
        <f>AND(Versiones!#REF!,"AAAAABpLdXQ=")</f>
        <v>#REF!</v>
      </c>
      <c r="DN20" s="123" t="e">
        <f>AND(Versiones!#REF!,"AAAAABpLdXU=")</f>
        <v>#REF!</v>
      </c>
      <c r="DO20" s="123" t="e">
        <f>AND(Versiones!#REF!,"AAAAABpLdXY=")</f>
        <v>#REF!</v>
      </c>
      <c r="DP20" s="123" t="e">
        <f>AND(Versiones!#REF!,"AAAAABpLdXc=")</f>
        <v>#REF!</v>
      </c>
      <c r="DQ20" s="123" t="e">
        <f>AND(Versiones!#REF!,"AAAAABpLdXg=")</f>
        <v>#REF!</v>
      </c>
      <c r="DR20" s="123" t="e">
        <f>AND(Versiones!#REF!,"AAAAABpLdXk=")</f>
        <v>#REF!</v>
      </c>
      <c r="DS20" s="123" t="e">
        <f>AND(Versiones!#REF!,"AAAAABpLdXo=")</f>
        <v>#REF!</v>
      </c>
      <c r="DT20" s="123" t="e">
        <f>AND(Versiones!#REF!,"AAAAABpLdXs=")</f>
        <v>#REF!</v>
      </c>
      <c r="DU20" s="123" t="e">
        <f>AND(Versiones!#REF!,"AAAAABpLdXw=")</f>
        <v>#REF!</v>
      </c>
      <c r="DV20" s="123" t="e">
        <f>AND(Versiones!#REF!,"AAAAABpLdX0=")</f>
        <v>#REF!</v>
      </c>
      <c r="DW20" s="123" t="e">
        <f>AND(Versiones!#REF!,"AAAAABpLdX4=")</f>
        <v>#REF!</v>
      </c>
      <c r="DX20" s="123" t="e">
        <f>AND(Versiones!#REF!,"AAAAABpLdX8=")</f>
        <v>#REF!</v>
      </c>
      <c r="DY20" s="123" t="e">
        <f>AND(Versiones!#REF!,"AAAAABpLdYA=")</f>
        <v>#REF!</v>
      </c>
      <c r="DZ20" s="123" t="e">
        <f>AND(Versiones!#REF!,"AAAAABpLdYE=")</f>
        <v>#REF!</v>
      </c>
      <c r="EA20" s="123" t="e">
        <f>AND(Versiones!#REF!,"AAAAABpLdYI=")</f>
        <v>#REF!</v>
      </c>
      <c r="EB20" s="123" t="e">
        <f>AND(Versiones!#REF!,"AAAAABpLdYM=")</f>
        <v>#REF!</v>
      </c>
      <c r="EC20" s="123" t="e">
        <f>AND(Versiones!#REF!,"AAAAABpLdYQ=")</f>
        <v>#REF!</v>
      </c>
      <c r="ED20" s="123" t="e">
        <f>AND(Versiones!#REF!,"AAAAABpLdYU=")</f>
        <v>#REF!</v>
      </c>
      <c r="EE20" s="123" t="e">
        <f>AND(Versiones!#REF!,"AAAAABpLdYY=")</f>
        <v>#REF!</v>
      </c>
      <c r="EF20" s="123" t="e">
        <f>AND(Versiones!#REF!,"AAAAABpLdYc=")</f>
        <v>#REF!</v>
      </c>
      <c r="EG20" s="123" t="e">
        <f>AND(Versiones!#REF!,"AAAAABpLdYg=")</f>
        <v>#REF!</v>
      </c>
      <c r="EH20" s="123" t="e">
        <f>AND(Versiones!#REF!,"AAAAABpLdYk=")</f>
        <v>#REF!</v>
      </c>
      <c r="EI20" s="123" t="e">
        <f>AND(Versiones!#REF!,"AAAAABpLdYo=")</f>
        <v>#REF!</v>
      </c>
      <c r="EJ20" s="123" t="e">
        <f>AND(Versiones!#REF!,"AAAAABpLdYs=")</f>
        <v>#REF!</v>
      </c>
      <c r="EK20" s="123" t="e">
        <f>AND(Versiones!#REF!,"AAAAABpLdYw=")</f>
        <v>#REF!</v>
      </c>
      <c r="EL20" s="123" t="e">
        <f>AND(Versiones!#REF!,"AAAAABpLdY0=")</f>
        <v>#REF!</v>
      </c>
      <c r="EM20" s="123" t="e">
        <f>AND(Versiones!#REF!,"AAAAABpLdY4=")</f>
        <v>#REF!</v>
      </c>
      <c r="EN20" s="123" t="e">
        <f>AND(Versiones!#REF!,"AAAAABpLdY8=")</f>
        <v>#REF!</v>
      </c>
      <c r="EO20" s="123" t="e">
        <f>AND(Versiones!#REF!,"AAAAABpLdZA=")</f>
        <v>#REF!</v>
      </c>
      <c r="EP20" s="123" t="e">
        <f>AND(Versiones!#REF!,"AAAAABpLdZE=")</f>
        <v>#REF!</v>
      </c>
      <c r="EQ20" s="123" t="e">
        <f>AND(Versiones!#REF!,"AAAAABpLdZI=")</f>
        <v>#REF!</v>
      </c>
      <c r="ER20" s="123" t="e">
        <f>AND(Versiones!#REF!,"AAAAABpLdZM=")</f>
        <v>#REF!</v>
      </c>
      <c r="ES20" s="123" t="e">
        <f>AND(Versiones!#REF!,"AAAAABpLdZQ=")</f>
        <v>#REF!</v>
      </c>
      <c r="ET20" s="123" t="e">
        <f>AND(Versiones!#REF!,"AAAAABpLdZU=")</f>
        <v>#REF!</v>
      </c>
      <c r="EU20" s="123" t="e">
        <f>AND(Versiones!#REF!,"AAAAABpLdZY=")</f>
        <v>#REF!</v>
      </c>
      <c r="EV20" s="123" t="e">
        <f>AND(Versiones!#REF!,"AAAAABpLdZc=")</f>
        <v>#REF!</v>
      </c>
      <c r="EW20" s="123" t="e">
        <f>AND(Versiones!#REF!,"AAAAABpLdZg=")</f>
        <v>#REF!</v>
      </c>
      <c r="EX20" s="123" t="e">
        <f>AND(Versiones!#REF!,"AAAAABpLdZk=")</f>
        <v>#REF!</v>
      </c>
      <c r="EY20" s="123" t="e">
        <f>AND(Versiones!#REF!,"AAAAABpLdZo=")</f>
        <v>#REF!</v>
      </c>
      <c r="EZ20" s="123" t="e">
        <f>AND(Versiones!#REF!,"AAAAABpLdZs=")</f>
        <v>#REF!</v>
      </c>
      <c r="FA20" s="123" t="e">
        <f>AND(Versiones!#REF!,"AAAAABpLdZw=")</f>
        <v>#REF!</v>
      </c>
      <c r="FB20" s="123" t="e">
        <f>AND(Versiones!#REF!,"AAAAABpLdZ0=")</f>
        <v>#REF!</v>
      </c>
      <c r="FC20" s="123" t="e">
        <f>AND(Versiones!#REF!,"AAAAABpLdZ4=")</f>
        <v>#REF!</v>
      </c>
      <c r="FD20" s="123" t="e">
        <f>AND(Versiones!#REF!,"AAAAABpLdZ8=")</f>
        <v>#REF!</v>
      </c>
      <c r="FE20" s="123" t="e">
        <f>AND(Versiones!#REF!,"AAAAABpLdaA=")</f>
        <v>#REF!</v>
      </c>
      <c r="FF20" s="123" t="e">
        <f>AND(Versiones!#REF!,"AAAAABpLdaE=")</f>
        <v>#REF!</v>
      </c>
      <c r="FG20" s="123" t="e">
        <f>AND(Versiones!#REF!,"AAAAABpLdaI=")</f>
        <v>#REF!</v>
      </c>
      <c r="FH20" s="123" t="e">
        <f>AND(Versiones!#REF!,"AAAAABpLdaM=")</f>
        <v>#REF!</v>
      </c>
      <c r="FI20" s="123" t="e">
        <f>AND(Versiones!#REF!,"AAAAABpLdaQ=")</f>
        <v>#REF!</v>
      </c>
      <c r="FJ20" s="123" t="e">
        <f>AND(Versiones!#REF!,"AAAAABpLdaU=")</f>
        <v>#REF!</v>
      </c>
      <c r="FK20" s="123" t="e">
        <f>AND(Versiones!#REF!,"AAAAABpLdaY=")</f>
        <v>#REF!</v>
      </c>
      <c r="FL20" s="123" t="e">
        <f>AND(Versiones!#REF!,"AAAAABpLdac=")</f>
        <v>#REF!</v>
      </c>
      <c r="FM20" s="123" t="e">
        <f>AND(Versiones!#REF!,"AAAAABpLdag=")</f>
        <v>#REF!</v>
      </c>
      <c r="FN20" s="123" t="e">
        <f>AND(Versiones!#REF!,"AAAAABpLdak=")</f>
        <v>#REF!</v>
      </c>
      <c r="FO20" s="123" t="e">
        <f>AND(Versiones!#REF!,"AAAAABpLdao=")</f>
        <v>#REF!</v>
      </c>
      <c r="FP20" s="123" t="e">
        <f>AND(Versiones!#REF!,"AAAAABpLdas=")</f>
        <v>#REF!</v>
      </c>
      <c r="FQ20" s="123" t="e">
        <f>AND(Versiones!#REF!,"AAAAABpLdaw=")</f>
        <v>#REF!</v>
      </c>
      <c r="FR20" s="123" t="e">
        <f>AND(Versiones!#REF!,"AAAAABpLda0=")</f>
        <v>#REF!</v>
      </c>
      <c r="FS20" s="123" t="e">
        <f>AND(Versiones!#REF!,"AAAAABpLda4=")</f>
        <v>#REF!</v>
      </c>
      <c r="FT20" s="123" t="e">
        <f>AND(Versiones!#REF!,"AAAAABpLda8=")</f>
        <v>#REF!</v>
      </c>
      <c r="FU20" s="123" t="e">
        <f>AND(Versiones!#REF!,"AAAAABpLdbA=")</f>
        <v>#REF!</v>
      </c>
      <c r="FV20" s="123" t="e">
        <f>AND(Versiones!#REF!,"AAAAABpLdbE=")</f>
        <v>#REF!</v>
      </c>
      <c r="FW20" s="123" t="e">
        <f>AND(Versiones!#REF!,"AAAAABpLdbI=")</f>
        <v>#REF!</v>
      </c>
      <c r="FX20" s="123" t="e">
        <f>AND(Versiones!#REF!,"AAAAABpLdbM=")</f>
        <v>#REF!</v>
      </c>
      <c r="FY20" s="123" t="e">
        <f>AND(Versiones!#REF!,"AAAAABpLdbQ=")</f>
        <v>#REF!</v>
      </c>
      <c r="FZ20" s="123" t="e">
        <f>AND(Versiones!#REF!,"AAAAABpLdbU=")</f>
        <v>#REF!</v>
      </c>
      <c r="GA20" s="123" t="e">
        <f>AND(Versiones!#REF!,"AAAAABpLdbY=")</f>
        <v>#REF!</v>
      </c>
      <c r="GB20" s="123" t="e">
        <f>AND(Versiones!#REF!,"AAAAABpLdbc=")</f>
        <v>#REF!</v>
      </c>
      <c r="GC20" s="123" t="e">
        <f>AND(Versiones!#REF!,"AAAAABpLdbg=")</f>
        <v>#REF!</v>
      </c>
      <c r="GD20" s="123" t="e">
        <f>AND(Versiones!#REF!,"AAAAABpLdbk=")</f>
        <v>#REF!</v>
      </c>
      <c r="GE20" s="123" t="e">
        <f>AND(Versiones!#REF!,"AAAAABpLdbo=")</f>
        <v>#REF!</v>
      </c>
      <c r="GF20" s="123" t="e">
        <f>AND(Versiones!#REF!,"AAAAABpLdbs=")</f>
        <v>#REF!</v>
      </c>
      <c r="GG20" s="123" t="e">
        <f>AND(Versiones!#REF!,"AAAAABpLdbw=")</f>
        <v>#REF!</v>
      </c>
      <c r="GH20" s="123" t="e">
        <f>AND(Versiones!#REF!,"AAAAABpLdb0=")</f>
        <v>#REF!</v>
      </c>
      <c r="GI20" s="123" t="e">
        <f>AND(Versiones!#REF!,"AAAAABpLdb4=")</f>
        <v>#REF!</v>
      </c>
      <c r="GJ20" s="123" t="e">
        <f>AND(Versiones!#REF!,"AAAAABpLdb8=")</f>
        <v>#REF!</v>
      </c>
      <c r="GK20" s="123" t="e">
        <f>AND(Versiones!#REF!,"AAAAABpLdcA=")</f>
        <v>#REF!</v>
      </c>
      <c r="GL20" s="123" t="e">
        <f>AND(Versiones!#REF!,"AAAAABpLdcE=")</f>
        <v>#REF!</v>
      </c>
      <c r="GM20" s="123" t="e">
        <f>AND(Versiones!#REF!,"AAAAABpLdcI=")</f>
        <v>#REF!</v>
      </c>
      <c r="GN20" s="123" t="e">
        <f>AND(Versiones!#REF!,"AAAAABpLdcM=")</f>
        <v>#REF!</v>
      </c>
      <c r="GO20" s="123" t="e">
        <f>AND(Versiones!#REF!,"AAAAABpLdcQ=")</f>
        <v>#REF!</v>
      </c>
      <c r="GP20" s="123" t="e">
        <f>AND(Versiones!#REF!,"AAAAABpLdcU=")</f>
        <v>#REF!</v>
      </c>
      <c r="GQ20" s="123" t="e">
        <f>AND(Versiones!#REF!,"AAAAABpLdcY=")</f>
        <v>#REF!</v>
      </c>
      <c r="GR20" s="123" t="e">
        <f>AND(Versiones!#REF!,"AAAAABpLdcc=")</f>
        <v>#REF!</v>
      </c>
      <c r="GS20" s="123" t="e">
        <f>AND(Versiones!#REF!,"AAAAABpLdcg=")</f>
        <v>#REF!</v>
      </c>
      <c r="GT20" s="123" t="e">
        <f>AND(Versiones!#REF!,"AAAAABpLdck=")</f>
        <v>#REF!</v>
      </c>
      <c r="GU20" s="123" t="e">
        <f>AND(Versiones!#REF!,"AAAAABpLdco=")</f>
        <v>#REF!</v>
      </c>
      <c r="GV20" s="123" t="e">
        <f>AND(Versiones!#REF!,"AAAAABpLdcs=")</f>
        <v>#REF!</v>
      </c>
      <c r="GW20" s="123" t="e">
        <f>AND(Versiones!#REF!,"AAAAABpLdcw=")</f>
        <v>#REF!</v>
      </c>
      <c r="GX20" s="123" t="e">
        <f>AND(Versiones!#REF!,"AAAAABpLdc0=")</f>
        <v>#REF!</v>
      </c>
      <c r="GY20" s="123" t="e">
        <f>AND(Versiones!#REF!,"AAAAABpLdc4=")</f>
        <v>#REF!</v>
      </c>
      <c r="GZ20" s="123" t="e">
        <f>AND(Versiones!#REF!,"AAAAABpLdc8=")</f>
        <v>#REF!</v>
      </c>
      <c r="HA20" s="123" t="e">
        <f>AND(Versiones!#REF!,"AAAAABpLddA=")</f>
        <v>#REF!</v>
      </c>
      <c r="HB20" s="123" t="e">
        <f>AND(Versiones!#REF!,"AAAAABpLddE=")</f>
        <v>#REF!</v>
      </c>
      <c r="HC20" s="123" t="e">
        <f>AND(Versiones!#REF!,"AAAAABpLddI=")</f>
        <v>#REF!</v>
      </c>
      <c r="HD20" s="123" t="e">
        <f>AND(Versiones!#REF!,"AAAAABpLddM=")</f>
        <v>#REF!</v>
      </c>
      <c r="HE20" s="123" t="e">
        <f>AND(Versiones!#REF!,"AAAAABpLddQ=")</f>
        <v>#REF!</v>
      </c>
      <c r="HF20" s="123" t="e">
        <f>AND(Versiones!#REF!,"AAAAABpLddU=")</f>
        <v>#REF!</v>
      </c>
      <c r="HG20" s="123" t="e">
        <f>AND(Versiones!#REF!,"AAAAABpLddY=")</f>
        <v>#REF!</v>
      </c>
      <c r="HH20" s="123" t="e">
        <f>AND(Versiones!#REF!,"AAAAABpLddc=")</f>
        <v>#REF!</v>
      </c>
      <c r="HI20" s="123" t="e">
        <f>AND(Versiones!#REF!,"AAAAABpLddg=")</f>
        <v>#REF!</v>
      </c>
      <c r="HJ20" s="123" t="e">
        <f>AND(Versiones!#REF!,"AAAAABpLddk=")</f>
        <v>#REF!</v>
      </c>
      <c r="HK20" s="123" t="e">
        <f>AND(Versiones!#REF!,"AAAAABpLddo=")</f>
        <v>#REF!</v>
      </c>
      <c r="HL20" s="123" t="e">
        <f>AND(Versiones!#REF!,"AAAAABpLdds=")</f>
        <v>#REF!</v>
      </c>
      <c r="HM20" s="123" t="e">
        <f>AND(Versiones!#REF!,"AAAAABpLddw=")</f>
        <v>#REF!</v>
      </c>
      <c r="HN20" s="123" t="e">
        <f>AND(Versiones!#REF!,"AAAAABpLdd0=")</f>
        <v>#REF!</v>
      </c>
      <c r="HO20" s="123" t="e">
        <f>AND(Versiones!#REF!,"AAAAABpLdd4=")</f>
        <v>#REF!</v>
      </c>
      <c r="HP20" s="123" t="e">
        <f>AND(Versiones!#REF!,"AAAAABpLdd8=")</f>
        <v>#REF!</v>
      </c>
      <c r="HQ20" s="123" t="e">
        <f>AND(Versiones!#REF!,"AAAAABpLdeA=")</f>
        <v>#REF!</v>
      </c>
      <c r="HR20" s="123" t="e">
        <f>AND(Versiones!#REF!,"AAAAABpLdeE=")</f>
        <v>#REF!</v>
      </c>
      <c r="HS20" s="123" t="e">
        <f>AND(Versiones!#REF!,"AAAAABpLdeI=")</f>
        <v>#REF!</v>
      </c>
      <c r="HT20" s="123" t="e">
        <f>AND(Versiones!#REF!,"AAAAABpLdeM=")</f>
        <v>#REF!</v>
      </c>
      <c r="HU20" s="123" t="e">
        <f>AND(Versiones!#REF!,"AAAAABpLdeQ=")</f>
        <v>#REF!</v>
      </c>
      <c r="HV20" s="123" t="e">
        <f>AND(Versiones!#REF!,"AAAAABpLdeU=")</f>
        <v>#REF!</v>
      </c>
      <c r="HW20" s="123" t="e">
        <f>AND(Versiones!#REF!,"AAAAABpLdeY=")</f>
        <v>#REF!</v>
      </c>
      <c r="HX20" s="123" t="e">
        <f>AND(Versiones!#REF!,"AAAAABpLdec=")</f>
        <v>#REF!</v>
      </c>
      <c r="HY20" s="123" t="e">
        <f>AND(Versiones!#REF!,"AAAAABpLdeg=")</f>
        <v>#REF!</v>
      </c>
      <c r="HZ20" s="123" t="e">
        <f>AND(Versiones!#REF!,"AAAAABpLdek=")</f>
        <v>#REF!</v>
      </c>
      <c r="IA20" s="123" t="e">
        <f>AND(Versiones!#REF!,"AAAAABpLdeo=")</f>
        <v>#REF!</v>
      </c>
      <c r="IB20" s="123" t="e">
        <f>AND(Versiones!#REF!,"AAAAABpLdes=")</f>
        <v>#REF!</v>
      </c>
      <c r="IC20" s="123" t="e">
        <f>AND(Versiones!#REF!,"AAAAABpLdew=")</f>
        <v>#REF!</v>
      </c>
      <c r="ID20" s="123" t="e">
        <f>AND(Versiones!#REF!,"AAAAABpLde0=")</f>
        <v>#REF!</v>
      </c>
      <c r="IE20" s="123" t="e">
        <f>AND(Versiones!#REF!,"AAAAABpLde4=")</f>
        <v>#REF!</v>
      </c>
      <c r="IF20" s="123" t="e">
        <f>AND(Versiones!#REF!,"AAAAABpLde8=")</f>
        <v>#REF!</v>
      </c>
      <c r="IG20" s="123" t="e">
        <f>AND(Versiones!#REF!,"AAAAABpLdfA=")</f>
        <v>#REF!</v>
      </c>
      <c r="IH20" s="123" t="e">
        <f>AND(Versiones!#REF!,"AAAAABpLdfE=")</f>
        <v>#REF!</v>
      </c>
      <c r="II20" s="123" t="e">
        <f>AND(Versiones!#REF!,"AAAAABpLdfI=")</f>
        <v>#REF!</v>
      </c>
      <c r="IJ20" s="123" t="e">
        <f>AND(Versiones!#REF!,"AAAAABpLdfM=")</f>
        <v>#REF!</v>
      </c>
      <c r="IK20" s="123" t="e">
        <f>AND(Versiones!#REF!,"AAAAABpLdfQ=")</f>
        <v>#REF!</v>
      </c>
      <c r="IL20" s="123" t="e">
        <f>AND(Versiones!#REF!,"AAAAABpLdfU=")</f>
        <v>#REF!</v>
      </c>
      <c r="IM20" s="123" t="e">
        <f>AND(Versiones!#REF!,"AAAAABpLdfY=")</f>
        <v>#REF!</v>
      </c>
      <c r="IN20" s="123" t="e">
        <f>AND(Versiones!#REF!,"AAAAABpLdfc=")</f>
        <v>#REF!</v>
      </c>
      <c r="IO20" s="123" t="e">
        <f>AND(Versiones!#REF!,"AAAAABpLdfg=")</f>
        <v>#REF!</v>
      </c>
      <c r="IP20" s="123" t="e">
        <f>AND(Versiones!#REF!,"AAAAABpLdfk=")</f>
        <v>#REF!</v>
      </c>
      <c r="IQ20" s="123" t="e">
        <f>AND(Versiones!#REF!,"AAAAABpLdfo=")</f>
        <v>#REF!</v>
      </c>
      <c r="IR20" s="123" t="e">
        <f>AND(Versiones!#REF!,"AAAAABpLdfs=")</f>
        <v>#REF!</v>
      </c>
      <c r="IS20" s="123" t="e">
        <f>AND(Versiones!#REF!,"AAAAABpLdfw=")</f>
        <v>#REF!</v>
      </c>
      <c r="IT20" s="123" t="e">
        <f>AND(Versiones!#REF!,"AAAAABpLdf0=")</f>
        <v>#REF!</v>
      </c>
      <c r="IU20" s="123" t="e">
        <f>AND(Versiones!#REF!,"AAAAABpLdf4=")</f>
        <v>#REF!</v>
      </c>
      <c r="IV20" s="123" t="e">
        <f>AND(Versiones!#REF!,"AAAAABpLdf8=")</f>
        <v>#REF!</v>
      </c>
    </row>
    <row r="21" spans="1:256" ht="15.75" customHeight="1">
      <c r="A21" s="123" t="e">
        <f>AND(Versiones!#REF!,"AAAAAH/tXQA=")</f>
        <v>#REF!</v>
      </c>
      <c r="B21" s="123" t="e">
        <f>AND(Versiones!#REF!,"AAAAAH/tXQE=")</f>
        <v>#REF!</v>
      </c>
      <c r="C21" s="123" t="e">
        <f>AND(Versiones!#REF!,"AAAAAH/tXQI=")</f>
        <v>#REF!</v>
      </c>
      <c r="D21" s="123" t="e">
        <f>AND(Versiones!#REF!,"AAAAAH/tXQM=")</f>
        <v>#REF!</v>
      </c>
      <c r="E21" s="123" t="e">
        <f>AND(Versiones!#REF!,"AAAAAH/tXQQ=")</f>
        <v>#REF!</v>
      </c>
      <c r="F21" s="123" t="e">
        <f>AND(Versiones!#REF!,"AAAAAH/tXQU=")</f>
        <v>#REF!</v>
      </c>
      <c r="G21" s="123" t="e">
        <f>AND(Versiones!#REF!,"AAAAAH/tXQY=")</f>
        <v>#REF!</v>
      </c>
      <c r="H21" s="123" t="e">
        <f>AND(Versiones!#REF!,"AAAAAH/tXQc=")</f>
        <v>#REF!</v>
      </c>
      <c r="I21" s="123" t="e">
        <f>AND(Versiones!#REF!,"AAAAAH/tXQg=")</f>
        <v>#REF!</v>
      </c>
      <c r="J21" s="123" t="e">
        <f>AND(Versiones!#REF!,"AAAAAH/tXQk=")</f>
        <v>#REF!</v>
      </c>
      <c r="K21" s="123" t="e">
        <f>AND(Versiones!#REF!,"AAAAAH/tXQo=")</f>
        <v>#REF!</v>
      </c>
      <c r="L21" s="123" t="e">
        <f>AND(Versiones!#REF!,"AAAAAH/tXQs=")</f>
        <v>#REF!</v>
      </c>
      <c r="M21" s="123" t="e">
        <f>AND(Versiones!#REF!,"AAAAAH/tXQw=")</f>
        <v>#REF!</v>
      </c>
      <c r="N21" s="123" t="e">
        <f>AND(Versiones!#REF!,"AAAAAH/tXQ0=")</f>
        <v>#REF!</v>
      </c>
      <c r="O21" s="123" t="e">
        <f>AND(Versiones!#REF!,"AAAAAH/tXQ4=")</f>
        <v>#REF!</v>
      </c>
      <c r="P21" s="123" t="e">
        <f>AND(Versiones!#REF!,"AAAAAH/tXQ8=")</f>
        <v>#REF!</v>
      </c>
      <c r="Q21" s="123" t="e">
        <f>AND(Versiones!#REF!,"AAAAAH/tXRA=")</f>
        <v>#REF!</v>
      </c>
      <c r="R21" s="123" t="e">
        <f>AND(Versiones!#REF!,"AAAAAH/tXRE=")</f>
        <v>#REF!</v>
      </c>
      <c r="S21" s="123" t="e">
        <f>AND(Versiones!#REF!,"AAAAAH/tXRI=")</f>
        <v>#REF!</v>
      </c>
      <c r="T21" s="123" t="e">
        <f>AND(Versiones!#REF!,"AAAAAH/tXRM=")</f>
        <v>#REF!</v>
      </c>
      <c r="U21" s="123" t="e">
        <f>AND(Versiones!#REF!,"AAAAAH/tXRQ=")</f>
        <v>#REF!</v>
      </c>
      <c r="V21" s="123" t="e">
        <f>AND(Versiones!#REF!,"AAAAAH/tXRU=")</f>
        <v>#REF!</v>
      </c>
      <c r="W21" s="123" t="e">
        <f>AND(Versiones!#REF!,"AAAAAH/tXRY=")</f>
        <v>#REF!</v>
      </c>
      <c r="X21" s="123" t="e">
        <f>AND(Versiones!#REF!,"AAAAAH/tXRc=")</f>
        <v>#REF!</v>
      </c>
      <c r="Y21" s="123" t="e">
        <f>AND(Versiones!#REF!,"AAAAAH/tXRg=")</f>
        <v>#REF!</v>
      </c>
      <c r="Z21" s="123" t="e">
        <f>AND(Versiones!#REF!,"AAAAAH/tXRk=")</f>
        <v>#REF!</v>
      </c>
      <c r="AA21" s="123" t="e">
        <f>AND(Versiones!#REF!,"AAAAAH/tXRo=")</f>
        <v>#REF!</v>
      </c>
      <c r="AB21" s="123" t="e">
        <f>AND(Versiones!#REF!,"AAAAAH/tXRs=")</f>
        <v>#REF!</v>
      </c>
      <c r="AC21" s="123" t="e">
        <f>AND(Versiones!#REF!,"AAAAAH/tXRw=")</f>
        <v>#REF!</v>
      </c>
      <c r="AD21" s="123" t="e">
        <f>AND(Versiones!#REF!,"AAAAAH/tXR0=")</f>
        <v>#REF!</v>
      </c>
      <c r="AE21" s="123" t="e">
        <f>AND(Versiones!#REF!,"AAAAAH/tXR4=")</f>
        <v>#REF!</v>
      </c>
      <c r="AF21" s="123" t="e">
        <f>AND(Versiones!#REF!,"AAAAAH/tXR8=")</f>
        <v>#REF!</v>
      </c>
      <c r="AG21" s="123" t="e">
        <f>AND(Versiones!#REF!,"AAAAAH/tXSA=")</f>
        <v>#REF!</v>
      </c>
      <c r="AH21" s="123" t="e">
        <f>AND(Versiones!#REF!,"AAAAAH/tXSE=")</f>
        <v>#REF!</v>
      </c>
      <c r="AI21" s="123" t="e">
        <f>AND(Versiones!#REF!,"AAAAAH/tXSI=")</f>
        <v>#REF!</v>
      </c>
      <c r="AJ21" s="123" t="e">
        <f>AND(Versiones!#REF!,"AAAAAH/tXSM=")</f>
        <v>#REF!</v>
      </c>
      <c r="AK21" s="123" t="e">
        <f>AND(Versiones!#REF!,"AAAAAH/tXSQ=")</f>
        <v>#REF!</v>
      </c>
      <c r="AL21" s="123" t="e">
        <f>AND(Versiones!#REF!,"AAAAAH/tXSU=")</f>
        <v>#REF!</v>
      </c>
      <c r="AM21" s="123" t="e">
        <f>AND(Versiones!#REF!,"AAAAAH/tXSY=")</f>
        <v>#REF!</v>
      </c>
      <c r="AN21" s="123" t="e">
        <f>AND(Versiones!#REF!,"AAAAAH/tXSc=")</f>
        <v>#REF!</v>
      </c>
      <c r="AO21" s="123" t="e">
        <f>AND(Versiones!#REF!,"AAAAAH/tXSg=")</f>
        <v>#REF!</v>
      </c>
      <c r="AP21" s="123" t="e">
        <f>AND(Versiones!#REF!,"AAAAAH/tXSk=")</f>
        <v>#REF!</v>
      </c>
      <c r="AQ21" s="123" t="e">
        <f>AND(Versiones!#REF!,"AAAAAH/tXSo=")</f>
        <v>#REF!</v>
      </c>
      <c r="AR21" s="123" t="e">
        <f>AND(Versiones!#REF!,"AAAAAH/tXSs=")</f>
        <v>#REF!</v>
      </c>
      <c r="AS21" s="123" t="e">
        <f>AND(Versiones!#REF!,"AAAAAH/tXSw=")</f>
        <v>#REF!</v>
      </c>
      <c r="AT21" s="123" t="e">
        <f>AND(Versiones!#REF!,"AAAAAH/tXS0=")</f>
        <v>#REF!</v>
      </c>
      <c r="AU21" s="123" t="e">
        <f>AND(Versiones!#REF!,"AAAAAH/tXS4=")</f>
        <v>#REF!</v>
      </c>
      <c r="AV21" s="123" t="e">
        <f>AND(Versiones!#REF!,"AAAAAH/tXS8=")</f>
        <v>#REF!</v>
      </c>
      <c r="AW21" s="123" t="e">
        <f>AND(Versiones!#REF!,"AAAAAH/tXTA=")</f>
        <v>#REF!</v>
      </c>
      <c r="AX21" s="123" t="e">
        <f>AND(Versiones!#REF!,"AAAAAH/tXTE=")</f>
        <v>#REF!</v>
      </c>
      <c r="AY21" s="123" t="e">
        <f>AND(Versiones!#REF!,"AAAAAH/tXTI=")</f>
        <v>#REF!</v>
      </c>
      <c r="AZ21" s="123" t="e">
        <f>AND(Versiones!#REF!,"AAAAAH/tXTM=")</f>
        <v>#REF!</v>
      </c>
      <c r="BA21" s="123" t="e">
        <f>AND(Versiones!#REF!,"AAAAAH/tXTQ=")</f>
        <v>#REF!</v>
      </c>
      <c r="BB21" s="123" t="e">
        <f>AND(Versiones!#REF!,"AAAAAH/tXTU=")</f>
        <v>#REF!</v>
      </c>
      <c r="BC21" s="123" t="e">
        <f ca="1">IF(_xlfn.SINGLE(Versiones!#REF!),"AAAAAH/tXTY=",0)</f>
        <v>#NAME?</v>
      </c>
      <c r="BD21" s="123" t="e">
        <f>AND(Versiones!#REF!,"AAAAAH/tXTc=")</f>
        <v>#REF!</v>
      </c>
      <c r="BE21" s="123" t="e">
        <f>AND(Versiones!#REF!,"AAAAAH/tXTg=")</f>
        <v>#REF!</v>
      </c>
      <c r="BF21" s="123" t="e">
        <f>AND(Versiones!#REF!,"AAAAAH/tXTk=")</f>
        <v>#REF!</v>
      </c>
      <c r="BG21" s="123" t="e">
        <f>AND(Versiones!#REF!,"AAAAAH/tXTo=")</f>
        <v>#REF!</v>
      </c>
      <c r="BH21" s="123" t="e">
        <f>AND(Versiones!#REF!,"AAAAAH/tXTs=")</f>
        <v>#REF!</v>
      </c>
      <c r="BI21" s="123" t="e">
        <f>AND(Versiones!#REF!,"AAAAAH/tXTw=")</f>
        <v>#REF!</v>
      </c>
      <c r="BJ21" s="123" t="e">
        <f>AND(Versiones!#REF!,"AAAAAH/tXT0=")</f>
        <v>#REF!</v>
      </c>
      <c r="BK21" s="123" t="e">
        <f>AND(Versiones!#REF!,"AAAAAH/tXT4=")</f>
        <v>#REF!</v>
      </c>
      <c r="BL21" s="123" t="e">
        <f>AND(Versiones!#REF!,"AAAAAH/tXT8=")</f>
        <v>#REF!</v>
      </c>
      <c r="BM21" s="123" t="e">
        <f>AND(Versiones!#REF!,"AAAAAH/tXUA=")</f>
        <v>#REF!</v>
      </c>
      <c r="BN21" s="123" t="e">
        <f>AND(Versiones!#REF!,"AAAAAH/tXUE=")</f>
        <v>#REF!</v>
      </c>
      <c r="BO21" s="123" t="e">
        <f>AND(Versiones!#REF!,"AAAAAH/tXUI=")</f>
        <v>#REF!</v>
      </c>
      <c r="BP21" s="123" t="e">
        <f>AND(Versiones!#REF!,"AAAAAH/tXUM=")</f>
        <v>#REF!</v>
      </c>
      <c r="BQ21" s="123" t="e">
        <f>AND(Versiones!#REF!,"AAAAAH/tXUQ=")</f>
        <v>#REF!</v>
      </c>
      <c r="BR21" s="123" t="e">
        <f>AND(Versiones!#REF!,"AAAAAH/tXUU=")</f>
        <v>#REF!</v>
      </c>
      <c r="BS21" s="123" t="e">
        <f>AND(Versiones!#REF!,"AAAAAH/tXUY=")</f>
        <v>#REF!</v>
      </c>
      <c r="BT21" s="123" t="e">
        <f>AND(Versiones!#REF!,"AAAAAH/tXUc=")</f>
        <v>#REF!</v>
      </c>
      <c r="BU21" s="123" t="e">
        <f>AND(Versiones!#REF!,"AAAAAH/tXUg=")</f>
        <v>#REF!</v>
      </c>
      <c r="BV21" s="123" t="e">
        <f>AND(Versiones!#REF!,"AAAAAH/tXUk=")</f>
        <v>#REF!</v>
      </c>
      <c r="BW21" s="123" t="e">
        <f>AND(Versiones!#REF!,"AAAAAH/tXUo=")</f>
        <v>#REF!</v>
      </c>
      <c r="BX21" s="123" t="e">
        <f>AND(Versiones!#REF!,"AAAAAH/tXUs=")</f>
        <v>#REF!</v>
      </c>
      <c r="BY21" s="123" t="e">
        <f>AND(Versiones!#REF!,"AAAAAH/tXUw=")</f>
        <v>#REF!</v>
      </c>
      <c r="BZ21" s="123" t="e">
        <f>AND(Versiones!#REF!,"AAAAAH/tXU0=")</f>
        <v>#REF!</v>
      </c>
      <c r="CA21" s="123" t="e">
        <f>AND(Versiones!#REF!,"AAAAAH/tXU4=")</f>
        <v>#REF!</v>
      </c>
      <c r="CB21" s="123" t="e">
        <f>AND(Versiones!#REF!,"AAAAAH/tXU8=")</f>
        <v>#REF!</v>
      </c>
      <c r="CC21" s="123" t="e">
        <f>AND(Versiones!#REF!,"AAAAAH/tXVA=")</f>
        <v>#REF!</v>
      </c>
      <c r="CD21" s="123" t="e">
        <f>AND(Versiones!#REF!,"AAAAAH/tXVE=")</f>
        <v>#REF!</v>
      </c>
      <c r="CE21" s="123" t="e">
        <f>AND(Versiones!#REF!,"AAAAAH/tXVI=")</f>
        <v>#REF!</v>
      </c>
      <c r="CF21" s="123" t="e">
        <f>AND(Versiones!#REF!,"AAAAAH/tXVM=")</f>
        <v>#REF!</v>
      </c>
      <c r="CG21" s="123" t="e">
        <f>AND(Versiones!#REF!,"AAAAAH/tXVQ=")</f>
        <v>#REF!</v>
      </c>
      <c r="CH21" s="123" t="e">
        <f>AND(Versiones!#REF!,"AAAAAH/tXVU=")</f>
        <v>#REF!</v>
      </c>
      <c r="CI21" s="123" t="e">
        <f>AND(Versiones!#REF!,"AAAAAH/tXVY=")</f>
        <v>#REF!</v>
      </c>
      <c r="CJ21" s="123" t="e">
        <f>AND(Versiones!#REF!,"AAAAAH/tXVc=")</f>
        <v>#REF!</v>
      </c>
      <c r="CK21" s="123" t="e">
        <f>AND(Versiones!#REF!,"AAAAAH/tXVg=")</f>
        <v>#REF!</v>
      </c>
      <c r="CL21" s="123" t="e">
        <f>AND(Versiones!#REF!,"AAAAAH/tXVk=")</f>
        <v>#REF!</v>
      </c>
      <c r="CM21" s="123" t="e">
        <f>AND(Versiones!#REF!,"AAAAAH/tXVo=")</f>
        <v>#REF!</v>
      </c>
      <c r="CN21" s="123" t="e">
        <f>AND(Versiones!#REF!,"AAAAAH/tXVs=")</f>
        <v>#REF!</v>
      </c>
      <c r="CO21" s="123" t="e">
        <f>AND(Versiones!#REF!,"AAAAAH/tXVw=")</f>
        <v>#REF!</v>
      </c>
      <c r="CP21" s="123" t="e">
        <f>AND(Versiones!#REF!,"AAAAAH/tXV0=")</f>
        <v>#REF!</v>
      </c>
      <c r="CQ21" s="123" t="e">
        <f>AND(Versiones!#REF!,"AAAAAH/tXV4=")</f>
        <v>#REF!</v>
      </c>
      <c r="CR21" s="123" t="e">
        <f>AND(Versiones!#REF!,"AAAAAH/tXV8=")</f>
        <v>#REF!</v>
      </c>
      <c r="CS21" s="123" t="e">
        <f>AND(Versiones!#REF!,"AAAAAH/tXWA=")</f>
        <v>#REF!</v>
      </c>
      <c r="CT21" s="123" t="e">
        <f>AND(Versiones!#REF!,"AAAAAH/tXWE=")</f>
        <v>#REF!</v>
      </c>
      <c r="CU21" s="123" t="e">
        <f>AND(Versiones!#REF!,"AAAAAH/tXWI=")</f>
        <v>#REF!</v>
      </c>
      <c r="CV21" s="123" t="e">
        <f>AND(Versiones!#REF!,"AAAAAH/tXWM=")</f>
        <v>#REF!</v>
      </c>
      <c r="CW21" s="123" t="e">
        <f>AND(Versiones!#REF!,"AAAAAH/tXWQ=")</f>
        <v>#REF!</v>
      </c>
      <c r="CX21" s="123" t="e">
        <f>AND(Versiones!#REF!,"AAAAAH/tXWU=")</f>
        <v>#REF!</v>
      </c>
      <c r="CY21" s="123" t="e">
        <f>AND(Versiones!#REF!,"AAAAAH/tXWY=")</f>
        <v>#REF!</v>
      </c>
      <c r="CZ21" s="123" t="e">
        <f>AND(Versiones!#REF!,"AAAAAH/tXWc=")</f>
        <v>#REF!</v>
      </c>
      <c r="DA21" s="123" t="e">
        <f>AND(Versiones!#REF!,"AAAAAH/tXWg=")</f>
        <v>#REF!</v>
      </c>
      <c r="DB21" s="123" t="e">
        <f>AND(Versiones!#REF!,"AAAAAH/tXWk=")</f>
        <v>#REF!</v>
      </c>
      <c r="DC21" s="123" t="e">
        <f>AND(Versiones!#REF!,"AAAAAH/tXWo=")</f>
        <v>#REF!</v>
      </c>
      <c r="DD21" s="123" t="e">
        <f>AND(Versiones!#REF!,"AAAAAH/tXWs=")</f>
        <v>#REF!</v>
      </c>
      <c r="DE21" s="123" t="e">
        <f>AND(Versiones!#REF!,"AAAAAH/tXWw=")</f>
        <v>#REF!</v>
      </c>
      <c r="DF21" s="123" t="e">
        <f>AND(Versiones!#REF!,"AAAAAH/tXW0=")</f>
        <v>#REF!</v>
      </c>
      <c r="DG21" s="123" t="e">
        <f>AND(Versiones!#REF!,"AAAAAH/tXW4=")</f>
        <v>#REF!</v>
      </c>
      <c r="DH21" s="123" t="e">
        <f>AND(Versiones!#REF!,"AAAAAH/tXW8=")</f>
        <v>#REF!</v>
      </c>
      <c r="DI21" s="123" t="e">
        <f>AND(Versiones!#REF!,"AAAAAH/tXXA=")</f>
        <v>#REF!</v>
      </c>
      <c r="DJ21" s="123" t="e">
        <f>AND(Versiones!#REF!,"AAAAAH/tXXE=")</f>
        <v>#REF!</v>
      </c>
      <c r="DK21" s="123" t="e">
        <f>AND(Versiones!#REF!,"AAAAAH/tXXI=")</f>
        <v>#REF!</v>
      </c>
      <c r="DL21" s="123" t="e">
        <f>AND(Versiones!#REF!,"AAAAAH/tXXM=")</f>
        <v>#REF!</v>
      </c>
      <c r="DM21" s="123" t="e">
        <f>AND(Versiones!#REF!,"AAAAAH/tXXQ=")</f>
        <v>#REF!</v>
      </c>
      <c r="DN21" s="123" t="e">
        <f>AND(Versiones!#REF!,"AAAAAH/tXXU=")</f>
        <v>#REF!</v>
      </c>
      <c r="DO21" s="123" t="e">
        <f>AND(Versiones!#REF!,"AAAAAH/tXXY=")</f>
        <v>#REF!</v>
      </c>
      <c r="DP21" s="123" t="e">
        <f>AND(Versiones!#REF!,"AAAAAH/tXXc=")</f>
        <v>#REF!</v>
      </c>
      <c r="DQ21" s="123" t="e">
        <f>AND(Versiones!#REF!,"AAAAAH/tXXg=")</f>
        <v>#REF!</v>
      </c>
      <c r="DR21" s="123" t="e">
        <f>AND(Versiones!#REF!,"AAAAAH/tXXk=")</f>
        <v>#REF!</v>
      </c>
      <c r="DS21" s="123" t="e">
        <f>AND(Versiones!#REF!,"AAAAAH/tXXo=")</f>
        <v>#REF!</v>
      </c>
      <c r="DT21" s="123" t="e">
        <f>AND(Versiones!#REF!,"AAAAAH/tXXs=")</f>
        <v>#REF!</v>
      </c>
      <c r="DU21" s="123" t="e">
        <f>AND(Versiones!#REF!,"AAAAAH/tXXw=")</f>
        <v>#REF!</v>
      </c>
      <c r="DV21" s="123" t="e">
        <f>AND(Versiones!#REF!,"AAAAAH/tXX0=")</f>
        <v>#REF!</v>
      </c>
      <c r="DW21" s="123" t="e">
        <f>AND(Versiones!#REF!,"AAAAAH/tXX4=")</f>
        <v>#REF!</v>
      </c>
      <c r="DX21" s="123" t="e">
        <f>AND(Versiones!#REF!,"AAAAAH/tXX8=")</f>
        <v>#REF!</v>
      </c>
      <c r="DY21" s="123" t="e">
        <f>AND(Versiones!#REF!,"AAAAAH/tXYA=")</f>
        <v>#REF!</v>
      </c>
      <c r="DZ21" s="123" t="e">
        <f>AND(Versiones!#REF!,"AAAAAH/tXYE=")</f>
        <v>#REF!</v>
      </c>
      <c r="EA21" s="123" t="e">
        <f>AND(Versiones!#REF!,"AAAAAH/tXYI=")</f>
        <v>#REF!</v>
      </c>
      <c r="EB21" s="123" t="e">
        <f>AND(Versiones!#REF!,"AAAAAH/tXYM=")</f>
        <v>#REF!</v>
      </c>
      <c r="EC21" s="123" t="e">
        <f>AND(Versiones!#REF!,"AAAAAH/tXYQ=")</f>
        <v>#REF!</v>
      </c>
      <c r="ED21" s="123" t="e">
        <f>AND(Versiones!#REF!,"AAAAAH/tXYU=")</f>
        <v>#REF!</v>
      </c>
      <c r="EE21" s="123" t="e">
        <f>AND(Versiones!#REF!,"AAAAAH/tXYY=")</f>
        <v>#REF!</v>
      </c>
      <c r="EF21" s="123" t="e">
        <f>AND(Versiones!#REF!,"AAAAAH/tXYc=")</f>
        <v>#REF!</v>
      </c>
      <c r="EG21" s="123" t="e">
        <f>AND(Versiones!#REF!,"AAAAAH/tXYg=")</f>
        <v>#REF!</v>
      </c>
      <c r="EH21" s="123" t="e">
        <f>AND(Versiones!#REF!,"AAAAAH/tXYk=")</f>
        <v>#REF!</v>
      </c>
      <c r="EI21" s="123" t="e">
        <f>AND(Versiones!#REF!,"AAAAAH/tXYo=")</f>
        <v>#REF!</v>
      </c>
      <c r="EJ21" s="123" t="e">
        <f>AND(Versiones!#REF!,"AAAAAH/tXYs=")</f>
        <v>#REF!</v>
      </c>
      <c r="EK21" s="123" t="e">
        <f>AND(Versiones!#REF!,"AAAAAH/tXYw=")</f>
        <v>#REF!</v>
      </c>
      <c r="EL21" s="123" t="e">
        <f>AND(Versiones!#REF!,"AAAAAH/tXY0=")</f>
        <v>#REF!</v>
      </c>
      <c r="EM21" s="123" t="e">
        <f>AND(Versiones!#REF!,"AAAAAH/tXY4=")</f>
        <v>#REF!</v>
      </c>
      <c r="EN21" s="123" t="e">
        <f>AND(Versiones!#REF!,"AAAAAH/tXY8=")</f>
        <v>#REF!</v>
      </c>
      <c r="EO21" s="123" t="e">
        <f>AND(Versiones!#REF!,"AAAAAH/tXZA=")</f>
        <v>#REF!</v>
      </c>
      <c r="EP21" s="123" t="e">
        <f>AND(Versiones!#REF!,"AAAAAH/tXZE=")</f>
        <v>#REF!</v>
      </c>
      <c r="EQ21" s="123" t="e">
        <f>AND(Versiones!#REF!,"AAAAAH/tXZI=")</f>
        <v>#REF!</v>
      </c>
      <c r="ER21" s="123" t="e">
        <f>AND(Versiones!#REF!,"AAAAAH/tXZM=")</f>
        <v>#REF!</v>
      </c>
      <c r="ES21" s="123" t="e">
        <f>AND(Versiones!#REF!,"AAAAAH/tXZQ=")</f>
        <v>#REF!</v>
      </c>
      <c r="ET21" s="123" t="e">
        <f>AND(Versiones!#REF!,"AAAAAH/tXZU=")</f>
        <v>#REF!</v>
      </c>
      <c r="EU21" s="123" t="e">
        <f>AND(Versiones!#REF!,"AAAAAH/tXZY=")</f>
        <v>#REF!</v>
      </c>
      <c r="EV21" s="123" t="e">
        <f>AND(Versiones!#REF!,"AAAAAH/tXZc=")</f>
        <v>#REF!</v>
      </c>
      <c r="EW21" s="123" t="e">
        <f>AND(Versiones!#REF!,"AAAAAH/tXZg=")</f>
        <v>#REF!</v>
      </c>
      <c r="EX21" s="123" t="e">
        <f>AND(Versiones!#REF!,"AAAAAH/tXZk=")</f>
        <v>#REF!</v>
      </c>
      <c r="EY21" s="123" t="e">
        <f>AND(Versiones!#REF!,"AAAAAH/tXZo=")</f>
        <v>#REF!</v>
      </c>
      <c r="EZ21" s="123" t="e">
        <f>AND(Versiones!#REF!,"AAAAAH/tXZs=")</f>
        <v>#REF!</v>
      </c>
      <c r="FA21" s="123" t="e">
        <f>AND(Versiones!#REF!,"AAAAAH/tXZw=")</f>
        <v>#REF!</v>
      </c>
      <c r="FB21" s="123" t="e">
        <f>AND(Versiones!#REF!,"AAAAAH/tXZ0=")</f>
        <v>#REF!</v>
      </c>
      <c r="FC21" s="123" t="e">
        <f>AND(Versiones!#REF!,"AAAAAH/tXZ4=")</f>
        <v>#REF!</v>
      </c>
      <c r="FD21" s="123" t="e">
        <f>AND(Versiones!#REF!,"AAAAAH/tXZ8=")</f>
        <v>#REF!</v>
      </c>
      <c r="FE21" s="123" t="e">
        <f>AND(Versiones!#REF!,"AAAAAH/tXaA=")</f>
        <v>#REF!</v>
      </c>
      <c r="FF21" s="123" t="e">
        <f>AND(Versiones!#REF!,"AAAAAH/tXaE=")</f>
        <v>#REF!</v>
      </c>
      <c r="FG21" s="123" t="e">
        <f>AND(Versiones!#REF!,"AAAAAH/tXaI=")</f>
        <v>#REF!</v>
      </c>
      <c r="FH21" s="123" t="e">
        <f>AND(Versiones!#REF!,"AAAAAH/tXaM=")</f>
        <v>#REF!</v>
      </c>
      <c r="FI21" s="123" t="e">
        <f>AND(Versiones!#REF!,"AAAAAH/tXaQ=")</f>
        <v>#REF!</v>
      </c>
      <c r="FJ21" s="123" t="e">
        <f>AND(Versiones!#REF!,"AAAAAH/tXaU=")</f>
        <v>#REF!</v>
      </c>
      <c r="FK21" s="123" t="e">
        <f>AND(Versiones!#REF!,"AAAAAH/tXaY=")</f>
        <v>#REF!</v>
      </c>
      <c r="FL21" s="123" t="e">
        <f>AND(Versiones!#REF!,"AAAAAH/tXac=")</f>
        <v>#REF!</v>
      </c>
      <c r="FM21" s="123" t="e">
        <f>AND(Versiones!#REF!,"AAAAAH/tXag=")</f>
        <v>#REF!</v>
      </c>
      <c r="FN21" s="123" t="e">
        <f>AND(Versiones!#REF!,"AAAAAH/tXak=")</f>
        <v>#REF!</v>
      </c>
      <c r="FO21" s="123" t="e">
        <f>AND(Versiones!#REF!,"AAAAAH/tXao=")</f>
        <v>#REF!</v>
      </c>
      <c r="FP21" s="123" t="e">
        <f>AND(Versiones!#REF!,"AAAAAH/tXas=")</f>
        <v>#REF!</v>
      </c>
      <c r="FQ21" s="123" t="e">
        <f>AND(Versiones!#REF!,"AAAAAH/tXaw=")</f>
        <v>#REF!</v>
      </c>
      <c r="FR21" s="123" t="e">
        <f>AND(Versiones!#REF!,"AAAAAH/tXa0=")</f>
        <v>#REF!</v>
      </c>
      <c r="FS21" s="123" t="e">
        <f>AND(Versiones!#REF!,"AAAAAH/tXa4=")</f>
        <v>#REF!</v>
      </c>
      <c r="FT21" s="123" t="e">
        <f>AND(Versiones!#REF!,"AAAAAH/tXa8=")</f>
        <v>#REF!</v>
      </c>
      <c r="FU21" s="123" t="e">
        <f>AND(Versiones!#REF!,"AAAAAH/tXbA=")</f>
        <v>#REF!</v>
      </c>
      <c r="FV21" s="123" t="e">
        <f>AND(Versiones!#REF!,"AAAAAH/tXbE=")</f>
        <v>#REF!</v>
      </c>
      <c r="FW21" s="123" t="e">
        <f>AND(Versiones!#REF!,"AAAAAH/tXbI=")</f>
        <v>#REF!</v>
      </c>
      <c r="FX21" s="123" t="e">
        <f>AND(Versiones!#REF!,"AAAAAH/tXbM=")</f>
        <v>#REF!</v>
      </c>
      <c r="FY21" s="123" t="e">
        <f>AND(Versiones!#REF!,"AAAAAH/tXbQ=")</f>
        <v>#REF!</v>
      </c>
      <c r="FZ21" s="123" t="e">
        <f>AND(Versiones!#REF!,"AAAAAH/tXbU=")</f>
        <v>#REF!</v>
      </c>
      <c r="GA21" s="123" t="e">
        <f>AND(Versiones!#REF!,"AAAAAH/tXbY=")</f>
        <v>#REF!</v>
      </c>
      <c r="GB21" s="123" t="e">
        <f>AND(Versiones!#REF!,"AAAAAH/tXbc=")</f>
        <v>#REF!</v>
      </c>
      <c r="GC21" s="123" t="e">
        <f>AND(Versiones!#REF!,"AAAAAH/tXbg=")</f>
        <v>#REF!</v>
      </c>
      <c r="GD21" s="123" t="e">
        <f>AND(Versiones!#REF!,"AAAAAH/tXbk=")</f>
        <v>#REF!</v>
      </c>
      <c r="GE21" s="123" t="e">
        <f>AND(Versiones!#REF!,"AAAAAH/tXbo=")</f>
        <v>#REF!</v>
      </c>
      <c r="GF21" s="123" t="e">
        <f>AND(Versiones!#REF!,"AAAAAH/tXbs=")</f>
        <v>#REF!</v>
      </c>
      <c r="GG21" s="123" t="e">
        <f>AND(Versiones!#REF!,"AAAAAH/tXbw=")</f>
        <v>#REF!</v>
      </c>
      <c r="GH21" s="123" t="e">
        <f>AND(Versiones!#REF!,"AAAAAH/tXb0=")</f>
        <v>#REF!</v>
      </c>
      <c r="GI21" s="123" t="e">
        <f>AND(Versiones!#REF!,"AAAAAH/tXb4=")</f>
        <v>#REF!</v>
      </c>
      <c r="GJ21" s="123" t="e">
        <f>AND(Versiones!#REF!,"AAAAAH/tXb8=")</f>
        <v>#REF!</v>
      </c>
      <c r="GK21" s="123" t="e">
        <f>AND(Versiones!#REF!,"AAAAAH/tXcA=")</f>
        <v>#REF!</v>
      </c>
      <c r="GL21" s="123" t="e">
        <f>AND(Versiones!#REF!,"AAAAAH/tXcE=")</f>
        <v>#REF!</v>
      </c>
      <c r="GM21" s="123" t="e">
        <f>AND(Versiones!#REF!,"AAAAAH/tXcI=")</f>
        <v>#REF!</v>
      </c>
      <c r="GN21" s="123" t="e">
        <f>AND(Versiones!#REF!,"AAAAAH/tXcM=")</f>
        <v>#REF!</v>
      </c>
      <c r="GO21" s="123" t="e">
        <f>AND(Versiones!#REF!,"AAAAAH/tXcQ=")</f>
        <v>#REF!</v>
      </c>
      <c r="GP21" s="123" t="e">
        <f>AND(Versiones!#REF!,"AAAAAH/tXcU=")</f>
        <v>#REF!</v>
      </c>
      <c r="GQ21" s="123" t="e">
        <f>AND(Versiones!#REF!,"AAAAAH/tXcY=")</f>
        <v>#REF!</v>
      </c>
      <c r="GR21" s="123" t="e">
        <f>AND(Versiones!#REF!,"AAAAAH/tXcc=")</f>
        <v>#REF!</v>
      </c>
      <c r="GS21" s="123" t="e">
        <f>AND(Versiones!#REF!,"AAAAAH/tXcg=")</f>
        <v>#REF!</v>
      </c>
      <c r="GT21" s="123" t="e">
        <f>AND(Versiones!#REF!,"AAAAAH/tXck=")</f>
        <v>#REF!</v>
      </c>
      <c r="GU21" s="123" t="e">
        <f>AND(Versiones!#REF!,"AAAAAH/tXco=")</f>
        <v>#REF!</v>
      </c>
      <c r="GV21" s="123" t="e">
        <f>AND(Versiones!#REF!,"AAAAAH/tXcs=")</f>
        <v>#REF!</v>
      </c>
      <c r="GW21" s="123" t="e">
        <f>AND(Versiones!#REF!,"AAAAAH/tXcw=")</f>
        <v>#REF!</v>
      </c>
      <c r="GX21" s="123" t="e">
        <f>AND(Versiones!#REF!,"AAAAAH/tXc0=")</f>
        <v>#REF!</v>
      </c>
      <c r="GY21" s="123" t="e">
        <f>AND(Versiones!#REF!,"AAAAAH/tXc4=")</f>
        <v>#REF!</v>
      </c>
      <c r="GZ21" s="123" t="e">
        <f>AND(Versiones!#REF!,"AAAAAH/tXc8=")</f>
        <v>#REF!</v>
      </c>
      <c r="HA21" s="123" t="e">
        <f>AND(Versiones!#REF!,"AAAAAH/tXdA=")</f>
        <v>#REF!</v>
      </c>
      <c r="HB21" s="123" t="e">
        <f>AND(Versiones!#REF!,"AAAAAH/tXdE=")</f>
        <v>#REF!</v>
      </c>
      <c r="HC21" s="123" t="e">
        <f>AND(Versiones!#REF!,"AAAAAH/tXdI=")</f>
        <v>#REF!</v>
      </c>
      <c r="HD21" s="123" t="e">
        <f>AND(Versiones!#REF!,"AAAAAH/tXdM=")</f>
        <v>#REF!</v>
      </c>
      <c r="HE21" s="123" t="e">
        <f>AND(Versiones!#REF!,"AAAAAH/tXdQ=")</f>
        <v>#REF!</v>
      </c>
      <c r="HF21" s="123" t="e">
        <f>AND(Versiones!#REF!,"AAAAAH/tXdU=")</f>
        <v>#REF!</v>
      </c>
      <c r="HG21" s="123" t="e">
        <f>AND(Versiones!#REF!,"AAAAAH/tXdY=")</f>
        <v>#REF!</v>
      </c>
      <c r="HH21" s="123" t="e">
        <f>AND(Versiones!#REF!,"AAAAAH/tXdc=")</f>
        <v>#REF!</v>
      </c>
      <c r="HI21" s="123" t="e">
        <f>AND(Versiones!#REF!,"AAAAAH/tXdg=")</f>
        <v>#REF!</v>
      </c>
      <c r="HJ21" s="123" t="e">
        <f>AND(Versiones!#REF!,"AAAAAH/tXdk=")</f>
        <v>#REF!</v>
      </c>
      <c r="HK21" s="123" t="e">
        <f>AND(Versiones!#REF!,"AAAAAH/tXdo=")</f>
        <v>#REF!</v>
      </c>
      <c r="HL21" s="123" t="e">
        <f>AND(Versiones!#REF!,"AAAAAH/tXds=")</f>
        <v>#REF!</v>
      </c>
      <c r="HM21" s="123" t="e">
        <f>AND(Versiones!#REF!,"AAAAAH/tXdw=")</f>
        <v>#REF!</v>
      </c>
      <c r="HN21" s="123" t="e">
        <f>AND(Versiones!#REF!,"AAAAAH/tXd0=")</f>
        <v>#REF!</v>
      </c>
      <c r="HO21" s="123" t="e">
        <f>AND(Versiones!#REF!,"AAAAAH/tXd4=")</f>
        <v>#REF!</v>
      </c>
      <c r="HP21" s="123" t="e">
        <f>AND(Versiones!#REF!,"AAAAAH/tXd8=")</f>
        <v>#REF!</v>
      </c>
      <c r="HQ21" s="123" t="e">
        <f>AND(Versiones!#REF!,"AAAAAH/tXeA=")</f>
        <v>#REF!</v>
      </c>
      <c r="HR21" s="123" t="e">
        <f>AND(Versiones!#REF!,"AAAAAH/tXeE=")</f>
        <v>#REF!</v>
      </c>
      <c r="HS21" s="123" t="e">
        <f>AND(Versiones!#REF!,"AAAAAH/tXeI=")</f>
        <v>#REF!</v>
      </c>
      <c r="HT21" s="123" t="e">
        <f>AND(Versiones!#REF!,"AAAAAH/tXeM=")</f>
        <v>#REF!</v>
      </c>
      <c r="HU21" s="123" t="e">
        <f>AND(Versiones!#REF!,"AAAAAH/tXeQ=")</f>
        <v>#REF!</v>
      </c>
      <c r="HV21" s="123" t="e">
        <f>AND(Versiones!#REF!,"AAAAAH/tXeU=")</f>
        <v>#REF!</v>
      </c>
      <c r="HW21" s="123" t="e">
        <f>AND(Versiones!#REF!,"AAAAAH/tXeY=")</f>
        <v>#REF!</v>
      </c>
      <c r="HX21" s="123" t="e">
        <f>AND(Versiones!#REF!,"AAAAAH/tXec=")</f>
        <v>#REF!</v>
      </c>
      <c r="HY21" s="123" t="e">
        <f>AND(Versiones!#REF!,"AAAAAH/tXeg=")</f>
        <v>#REF!</v>
      </c>
      <c r="HZ21" s="123" t="e">
        <f>AND(Versiones!#REF!,"AAAAAH/tXek=")</f>
        <v>#REF!</v>
      </c>
      <c r="IA21" s="123" t="e">
        <f>AND(Versiones!#REF!,"AAAAAH/tXeo=")</f>
        <v>#REF!</v>
      </c>
      <c r="IB21" s="123" t="e">
        <f>AND(Versiones!#REF!,"AAAAAH/tXes=")</f>
        <v>#REF!</v>
      </c>
      <c r="IC21" s="123" t="e">
        <f>AND(Versiones!#REF!,"AAAAAH/tXew=")</f>
        <v>#REF!</v>
      </c>
      <c r="ID21" s="123" t="e">
        <f>AND(Versiones!#REF!,"AAAAAH/tXe0=")</f>
        <v>#REF!</v>
      </c>
      <c r="IE21" s="123" t="e">
        <f>AND(Versiones!#REF!,"AAAAAH/tXe4=")</f>
        <v>#REF!</v>
      </c>
      <c r="IF21" s="123" t="e">
        <f>AND(Versiones!#REF!,"AAAAAH/tXe8=")</f>
        <v>#REF!</v>
      </c>
      <c r="IG21" s="123" t="e">
        <f>AND(Versiones!#REF!,"AAAAAH/tXfA=")</f>
        <v>#REF!</v>
      </c>
      <c r="IH21" s="123" t="e">
        <f>AND(Versiones!#REF!,"AAAAAH/tXfE=")</f>
        <v>#REF!</v>
      </c>
      <c r="II21" s="123" t="e">
        <f>AND(Versiones!#REF!,"AAAAAH/tXfI=")</f>
        <v>#REF!</v>
      </c>
      <c r="IJ21" s="123" t="e">
        <f>AND(Versiones!#REF!,"AAAAAH/tXfM=")</f>
        <v>#REF!</v>
      </c>
      <c r="IK21" s="123" t="e">
        <f>AND(Versiones!#REF!,"AAAAAH/tXfQ=")</f>
        <v>#REF!</v>
      </c>
      <c r="IL21" s="123" t="e">
        <f>AND(Versiones!#REF!,"AAAAAH/tXfU=")</f>
        <v>#REF!</v>
      </c>
      <c r="IM21" s="123" t="e">
        <f>AND(Versiones!#REF!,"AAAAAH/tXfY=")</f>
        <v>#REF!</v>
      </c>
      <c r="IN21" s="123" t="e">
        <f>AND(Versiones!#REF!,"AAAAAH/tXfc=")</f>
        <v>#REF!</v>
      </c>
      <c r="IO21" s="123" t="e">
        <f>AND(Versiones!#REF!,"AAAAAH/tXfg=")</f>
        <v>#REF!</v>
      </c>
      <c r="IP21" s="123" t="e">
        <f>AND(Versiones!#REF!,"AAAAAH/tXfk=")</f>
        <v>#REF!</v>
      </c>
      <c r="IQ21" s="123" t="e">
        <f>AND(Versiones!#REF!,"AAAAAH/tXfo=")</f>
        <v>#REF!</v>
      </c>
      <c r="IR21" s="123" t="e">
        <f>AND(Versiones!#REF!,"AAAAAH/tXfs=")</f>
        <v>#REF!</v>
      </c>
      <c r="IS21" s="123" t="e">
        <f>AND(Versiones!#REF!,"AAAAAH/tXfw=")</f>
        <v>#REF!</v>
      </c>
      <c r="IT21" s="123" t="e">
        <f>AND(Versiones!#REF!,"AAAAAH/tXf0=")</f>
        <v>#REF!</v>
      </c>
      <c r="IU21" s="123" t="e">
        <f>AND(Versiones!#REF!,"AAAAAH/tXf4=")</f>
        <v>#REF!</v>
      </c>
      <c r="IV21" s="123" t="e">
        <f>AND(Versiones!#REF!,"AAAAAH/tXf8=")</f>
        <v>#REF!</v>
      </c>
    </row>
    <row r="22" spans="1:256" ht="15.75" customHeight="1">
      <c r="A22" s="123" t="e">
        <f>AND(Versiones!#REF!,"AAAAAGffuwA=")</f>
        <v>#REF!</v>
      </c>
      <c r="B22" s="123" t="e">
        <f>AND(Versiones!#REF!,"AAAAAGffuwE=")</f>
        <v>#REF!</v>
      </c>
      <c r="C22" s="123" t="e">
        <f>AND(Versiones!#REF!,"AAAAAGffuwI=")</f>
        <v>#REF!</v>
      </c>
      <c r="D22" s="123" t="e">
        <f>AND(Versiones!#REF!,"AAAAAGffuwM=")</f>
        <v>#REF!</v>
      </c>
      <c r="E22" s="123" t="e">
        <f>AND(Versiones!#REF!,"AAAAAGffuwQ=")</f>
        <v>#REF!</v>
      </c>
      <c r="F22" s="123" t="e">
        <f>AND(Versiones!#REF!,"AAAAAGffuwU=")</f>
        <v>#REF!</v>
      </c>
      <c r="G22" s="123" t="e">
        <f>AND(Versiones!#REF!,"AAAAAGffuwY=")</f>
        <v>#REF!</v>
      </c>
      <c r="H22" s="123" t="e">
        <f>AND(Versiones!#REF!,"AAAAAGffuwc=")</f>
        <v>#REF!</v>
      </c>
      <c r="I22" s="123" t="e">
        <f>AND(Versiones!#REF!,"AAAAAGffuwg=")</f>
        <v>#REF!</v>
      </c>
      <c r="J22" s="123" t="e">
        <f>AND(Versiones!#REF!,"AAAAAGffuwk=")</f>
        <v>#REF!</v>
      </c>
      <c r="K22" s="123" t="e">
        <f>AND(Versiones!#REF!,"AAAAAGffuwo=")</f>
        <v>#REF!</v>
      </c>
      <c r="L22" s="123" t="e">
        <f>AND(Versiones!#REF!,"AAAAAGffuws=")</f>
        <v>#REF!</v>
      </c>
      <c r="M22" s="123" t="e">
        <f>AND(Versiones!#REF!,"AAAAAGffuww=")</f>
        <v>#REF!</v>
      </c>
      <c r="N22" s="123" t="e">
        <f>AND(Versiones!#REF!,"AAAAAGffuw0=")</f>
        <v>#REF!</v>
      </c>
      <c r="O22" s="123" t="e">
        <f>AND(Versiones!#REF!,"AAAAAGffuw4=")</f>
        <v>#REF!</v>
      </c>
      <c r="P22" s="123" t="e">
        <f>AND(Versiones!#REF!,"AAAAAGffuw8=")</f>
        <v>#REF!</v>
      </c>
      <c r="Q22" s="123" t="e">
        <f>AND(Versiones!#REF!,"AAAAAGffuxA=")</f>
        <v>#REF!</v>
      </c>
      <c r="R22" s="123" t="e">
        <f ca="1">IF(_xlfn.SINGLE(Versiones!#REF!),"AAAAAGffuxE=",0)</f>
        <v>#NAME?</v>
      </c>
      <c r="S22" s="123" t="e">
        <f>AND(Versiones!#REF!,"AAAAAGffuxI=")</f>
        <v>#REF!</v>
      </c>
      <c r="T22" s="123" t="e">
        <f>AND(Versiones!#REF!,"AAAAAGffuxM=")</f>
        <v>#REF!</v>
      </c>
      <c r="U22" s="123" t="e">
        <f>AND(Versiones!#REF!,"AAAAAGffuxQ=")</f>
        <v>#REF!</v>
      </c>
      <c r="V22" s="123" t="e">
        <f>AND(Versiones!#REF!,"AAAAAGffuxU=")</f>
        <v>#REF!</v>
      </c>
      <c r="W22" s="123" t="e">
        <f>AND(Versiones!#REF!,"AAAAAGffuxY=")</f>
        <v>#REF!</v>
      </c>
      <c r="X22" s="123" t="e">
        <f>AND(Versiones!#REF!,"AAAAAGffuxc=")</f>
        <v>#REF!</v>
      </c>
      <c r="Y22" s="123" t="e">
        <f>AND(Versiones!#REF!,"AAAAAGffuxg=")</f>
        <v>#REF!</v>
      </c>
      <c r="Z22" s="123" t="e">
        <f>AND(Versiones!#REF!,"AAAAAGffuxk=")</f>
        <v>#REF!</v>
      </c>
      <c r="AA22" s="123" t="e">
        <f>AND(Versiones!#REF!,"AAAAAGffuxo=")</f>
        <v>#REF!</v>
      </c>
      <c r="AB22" s="123" t="e">
        <f>AND(Versiones!#REF!,"AAAAAGffuxs=")</f>
        <v>#REF!</v>
      </c>
      <c r="AC22" s="123" t="e">
        <f>AND(Versiones!#REF!,"AAAAAGffuxw=")</f>
        <v>#REF!</v>
      </c>
      <c r="AD22" s="123" t="e">
        <f>AND(Versiones!#REF!,"AAAAAGffux0=")</f>
        <v>#REF!</v>
      </c>
      <c r="AE22" s="123" t="e">
        <f>AND(Versiones!#REF!,"AAAAAGffux4=")</f>
        <v>#REF!</v>
      </c>
      <c r="AF22" s="123" t="e">
        <f>AND(Versiones!#REF!,"AAAAAGffux8=")</f>
        <v>#REF!</v>
      </c>
      <c r="AG22" s="123" t="e">
        <f>AND(Versiones!#REF!,"AAAAAGffuyA=")</f>
        <v>#REF!</v>
      </c>
      <c r="AH22" s="123" t="e">
        <f>AND(Versiones!#REF!,"AAAAAGffuyE=")</f>
        <v>#REF!</v>
      </c>
      <c r="AI22" s="123" t="e">
        <f>AND(Versiones!#REF!,"AAAAAGffuyI=")</f>
        <v>#REF!</v>
      </c>
      <c r="AJ22" s="123" t="e">
        <f>AND(Versiones!#REF!,"AAAAAGffuyM=")</f>
        <v>#REF!</v>
      </c>
      <c r="AK22" s="123" t="e">
        <f>AND(Versiones!#REF!,"AAAAAGffuyQ=")</f>
        <v>#REF!</v>
      </c>
      <c r="AL22" s="123" t="e">
        <f>AND(Versiones!#REF!,"AAAAAGffuyU=")</f>
        <v>#REF!</v>
      </c>
      <c r="AM22" s="123" t="e">
        <f>AND(Versiones!#REF!,"AAAAAGffuyY=")</f>
        <v>#REF!</v>
      </c>
      <c r="AN22" s="123" t="e">
        <f>AND(Versiones!#REF!,"AAAAAGffuyc=")</f>
        <v>#REF!</v>
      </c>
      <c r="AO22" s="123" t="e">
        <f>AND(Versiones!#REF!,"AAAAAGffuyg=")</f>
        <v>#REF!</v>
      </c>
      <c r="AP22" s="123" t="e">
        <f>AND(Versiones!#REF!,"AAAAAGffuyk=")</f>
        <v>#REF!</v>
      </c>
      <c r="AQ22" s="123" t="e">
        <f>AND(Versiones!#REF!,"AAAAAGffuyo=")</f>
        <v>#REF!</v>
      </c>
      <c r="AR22" s="123" t="e">
        <f>AND(Versiones!#REF!,"AAAAAGffuys=")</f>
        <v>#REF!</v>
      </c>
      <c r="AS22" s="123" t="e">
        <f>AND(Versiones!#REF!,"AAAAAGffuyw=")</f>
        <v>#REF!</v>
      </c>
      <c r="AT22" s="123" t="e">
        <f>AND(Versiones!#REF!,"AAAAAGffuy0=")</f>
        <v>#REF!</v>
      </c>
      <c r="AU22" s="123" t="e">
        <f>AND(Versiones!#REF!,"AAAAAGffuy4=")</f>
        <v>#REF!</v>
      </c>
      <c r="AV22" s="123" t="e">
        <f>AND(Versiones!#REF!,"AAAAAGffuy8=")</f>
        <v>#REF!</v>
      </c>
      <c r="AW22" s="123" t="e">
        <f>AND(Versiones!#REF!,"AAAAAGffuzA=")</f>
        <v>#REF!</v>
      </c>
      <c r="AX22" s="123" t="e">
        <f>AND(Versiones!#REF!,"AAAAAGffuzE=")</f>
        <v>#REF!</v>
      </c>
      <c r="AY22" s="123" t="e">
        <f>AND(Versiones!#REF!,"AAAAAGffuzI=")</f>
        <v>#REF!</v>
      </c>
      <c r="AZ22" s="123" t="e">
        <f>AND(Versiones!#REF!,"AAAAAGffuzM=")</f>
        <v>#REF!</v>
      </c>
      <c r="BA22" s="123" t="e">
        <f>AND(Versiones!#REF!,"AAAAAGffuzQ=")</f>
        <v>#REF!</v>
      </c>
      <c r="BB22" s="123" t="e">
        <f>AND(Versiones!#REF!,"AAAAAGffuzU=")</f>
        <v>#REF!</v>
      </c>
      <c r="BC22" s="123" t="e">
        <f>AND(Versiones!#REF!,"AAAAAGffuzY=")</f>
        <v>#REF!</v>
      </c>
      <c r="BD22" s="123" t="e">
        <f>AND(Versiones!#REF!,"AAAAAGffuzc=")</f>
        <v>#REF!</v>
      </c>
      <c r="BE22" s="123" t="e">
        <f>AND(Versiones!#REF!,"AAAAAGffuzg=")</f>
        <v>#REF!</v>
      </c>
      <c r="BF22" s="123" t="e">
        <f>AND(Versiones!#REF!,"AAAAAGffuzk=")</f>
        <v>#REF!</v>
      </c>
      <c r="BG22" s="123" t="e">
        <f>AND(Versiones!#REF!,"AAAAAGffuzo=")</f>
        <v>#REF!</v>
      </c>
      <c r="BH22" s="123" t="e">
        <f>AND(Versiones!#REF!,"AAAAAGffuzs=")</f>
        <v>#REF!</v>
      </c>
      <c r="BI22" s="123" t="e">
        <f>AND(Versiones!#REF!,"AAAAAGffuzw=")</f>
        <v>#REF!</v>
      </c>
      <c r="BJ22" s="123" t="e">
        <f>AND(Versiones!#REF!,"AAAAAGffuz0=")</f>
        <v>#REF!</v>
      </c>
      <c r="BK22" s="123" t="e">
        <f>AND(Versiones!#REF!,"AAAAAGffuz4=")</f>
        <v>#REF!</v>
      </c>
      <c r="BL22" s="123" t="e">
        <f>AND(Versiones!#REF!,"AAAAAGffuz8=")</f>
        <v>#REF!</v>
      </c>
      <c r="BM22" s="123" t="e">
        <f>AND(Versiones!#REF!,"AAAAAGffu0A=")</f>
        <v>#REF!</v>
      </c>
      <c r="BN22" s="123" t="e">
        <f>AND(Versiones!#REF!,"AAAAAGffu0E=")</f>
        <v>#REF!</v>
      </c>
      <c r="BO22" s="123" t="e">
        <f>AND(Versiones!#REF!,"AAAAAGffu0I=")</f>
        <v>#REF!</v>
      </c>
      <c r="BP22" s="123" t="e">
        <f>AND(Versiones!#REF!,"AAAAAGffu0M=")</f>
        <v>#REF!</v>
      </c>
      <c r="BQ22" s="123" t="e">
        <f>AND(Versiones!#REF!,"AAAAAGffu0Q=")</f>
        <v>#REF!</v>
      </c>
      <c r="BR22" s="123" t="e">
        <f>AND(Versiones!#REF!,"AAAAAGffu0U=")</f>
        <v>#REF!</v>
      </c>
      <c r="BS22" s="123" t="e">
        <f>AND(Versiones!#REF!,"AAAAAGffu0Y=")</f>
        <v>#REF!</v>
      </c>
      <c r="BT22" s="123" t="e">
        <f>AND(Versiones!#REF!,"AAAAAGffu0c=")</f>
        <v>#REF!</v>
      </c>
      <c r="BU22" s="123" t="e">
        <f>AND(Versiones!#REF!,"AAAAAGffu0g=")</f>
        <v>#REF!</v>
      </c>
      <c r="BV22" s="123" t="e">
        <f>AND(Versiones!#REF!,"AAAAAGffu0k=")</f>
        <v>#REF!</v>
      </c>
      <c r="BW22" s="123" t="e">
        <f>AND(Versiones!#REF!,"AAAAAGffu0o=")</f>
        <v>#REF!</v>
      </c>
      <c r="BX22" s="123" t="e">
        <f>AND(Versiones!#REF!,"AAAAAGffu0s=")</f>
        <v>#REF!</v>
      </c>
      <c r="BY22" s="123" t="e">
        <f>AND(Versiones!#REF!,"AAAAAGffu0w=")</f>
        <v>#REF!</v>
      </c>
      <c r="BZ22" s="123" t="e">
        <f>AND(Versiones!#REF!,"AAAAAGffu00=")</f>
        <v>#REF!</v>
      </c>
      <c r="CA22" s="123" t="e">
        <f>AND(Versiones!#REF!,"AAAAAGffu04=")</f>
        <v>#REF!</v>
      </c>
      <c r="CB22" s="123" t="e">
        <f>AND(Versiones!#REF!,"AAAAAGffu08=")</f>
        <v>#REF!</v>
      </c>
      <c r="CC22" s="123" t="e">
        <f>AND(Versiones!#REF!,"AAAAAGffu1A=")</f>
        <v>#REF!</v>
      </c>
      <c r="CD22" s="123" t="e">
        <f>AND(Versiones!#REF!,"AAAAAGffu1E=")</f>
        <v>#REF!</v>
      </c>
      <c r="CE22" s="123" t="e">
        <f>AND(Versiones!#REF!,"AAAAAGffu1I=")</f>
        <v>#REF!</v>
      </c>
      <c r="CF22" s="123" t="e">
        <f>AND(Versiones!#REF!,"AAAAAGffu1M=")</f>
        <v>#REF!</v>
      </c>
      <c r="CG22" s="123" t="e">
        <f>AND(Versiones!#REF!,"AAAAAGffu1Q=")</f>
        <v>#REF!</v>
      </c>
      <c r="CH22" s="123" t="e">
        <f>AND(Versiones!#REF!,"AAAAAGffu1U=")</f>
        <v>#REF!</v>
      </c>
      <c r="CI22" s="123" t="e">
        <f>AND(Versiones!#REF!,"AAAAAGffu1Y=")</f>
        <v>#REF!</v>
      </c>
      <c r="CJ22" s="123" t="e">
        <f>AND(Versiones!#REF!,"AAAAAGffu1c=")</f>
        <v>#REF!</v>
      </c>
      <c r="CK22" s="123" t="e">
        <f>AND(Versiones!#REF!,"AAAAAGffu1g=")</f>
        <v>#REF!</v>
      </c>
      <c r="CL22" s="123" t="e">
        <f>AND(Versiones!#REF!,"AAAAAGffu1k=")</f>
        <v>#REF!</v>
      </c>
      <c r="CM22" s="123" t="e">
        <f>AND(Versiones!#REF!,"AAAAAGffu1o=")</f>
        <v>#REF!</v>
      </c>
      <c r="CN22" s="123" t="e">
        <f>AND(Versiones!#REF!,"AAAAAGffu1s=")</f>
        <v>#REF!</v>
      </c>
      <c r="CO22" s="123" t="e">
        <f>AND(Versiones!#REF!,"AAAAAGffu1w=")</f>
        <v>#REF!</v>
      </c>
      <c r="CP22" s="123" t="e">
        <f>AND(Versiones!#REF!,"AAAAAGffu10=")</f>
        <v>#REF!</v>
      </c>
      <c r="CQ22" s="123" t="e">
        <f>AND(Versiones!#REF!,"AAAAAGffu14=")</f>
        <v>#REF!</v>
      </c>
      <c r="CR22" s="123" t="e">
        <f>AND(Versiones!#REF!,"AAAAAGffu18=")</f>
        <v>#REF!</v>
      </c>
      <c r="CS22" s="123" t="e">
        <f>AND(Versiones!#REF!,"AAAAAGffu2A=")</f>
        <v>#REF!</v>
      </c>
      <c r="CT22" s="123" t="e">
        <f>AND(Versiones!#REF!,"AAAAAGffu2E=")</f>
        <v>#REF!</v>
      </c>
      <c r="CU22" s="123" t="e">
        <f>AND(Versiones!#REF!,"AAAAAGffu2I=")</f>
        <v>#REF!</v>
      </c>
      <c r="CV22" s="123" t="e">
        <f>AND(Versiones!#REF!,"AAAAAGffu2M=")</f>
        <v>#REF!</v>
      </c>
      <c r="CW22" s="123" t="e">
        <f>AND(Versiones!#REF!,"AAAAAGffu2Q=")</f>
        <v>#REF!</v>
      </c>
      <c r="CX22" s="123" t="e">
        <f>AND(Versiones!#REF!,"AAAAAGffu2U=")</f>
        <v>#REF!</v>
      </c>
      <c r="CY22" s="123" t="e">
        <f>AND(Versiones!#REF!,"AAAAAGffu2Y=")</f>
        <v>#REF!</v>
      </c>
      <c r="CZ22" s="123" t="e">
        <f>AND(Versiones!#REF!,"AAAAAGffu2c=")</f>
        <v>#REF!</v>
      </c>
      <c r="DA22" s="123" t="e">
        <f>AND(Versiones!#REF!,"AAAAAGffu2g=")</f>
        <v>#REF!</v>
      </c>
      <c r="DB22" s="123" t="e">
        <f>AND(Versiones!#REF!,"AAAAAGffu2k=")</f>
        <v>#REF!</v>
      </c>
      <c r="DC22" s="123" t="e">
        <f>AND(Versiones!#REF!,"AAAAAGffu2o=")</f>
        <v>#REF!</v>
      </c>
      <c r="DD22" s="123" t="e">
        <f>AND(Versiones!#REF!,"AAAAAGffu2s=")</f>
        <v>#REF!</v>
      </c>
      <c r="DE22" s="123" t="e">
        <f>AND(Versiones!#REF!,"AAAAAGffu2w=")</f>
        <v>#REF!</v>
      </c>
      <c r="DF22" s="123" t="e">
        <f>AND(Versiones!#REF!,"AAAAAGffu20=")</f>
        <v>#REF!</v>
      </c>
      <c r="DG22" s="123" t="e">
        <f>AND(Versiones!#REF!,"AAAAAGffu24=")</f>
        <v>#REF!</v>
      </c>
      <c r="DH22" s="123" t="e">
        <f>AND(Versiones!#REF!,"AAAAAGffu28=")</f>
        <v>#REF!</v>
      </c>
      <c r="DI22" s="123" t="e">
        <f>AND(Versiones!#REF!,"AAAAAGffu3A=")</f>
        <v>#REF!</v>
      </c>
      <c r="DJ22" s="123" t="e">
        <f>AND(Versiones!#REF!,"AAAAAGffu3E=")</f>
        <v>#REF!</v>
      </c>
      <c r="DK22" s="123" t="e">
        <f>AND(Versiones!#REF!,"AAAAAGffu3I=")</f>
        <v>#REF!</v>
      </c>
      <c r="DL22" s="123" t="e">
        <f>AND(Versiones!#REF!,"AAAAAGffu3M=")</f>
        <v>#REF!</v>
      </c>
      <c r="DM22" s="123" t="e">
        <f>AND(Versiones!#REF!,"AAAAAGffu3Q=")</f>
        <v>#REF!</v>
      </c>
      <c r="DN22" s="123" t="e">
        <f>AND(Versiones!#REF!,"AAAAAGffu3U=")</f>
        <v>#REF!</v>
      </c>
      <c r="DO22" s="123" t="e">
        <f>AND(Versiones!#REF!,"AAAAAGffu3Y=")</f>
        <v>#REF!</v>
      </c>
      <c r="DP22" s="123" t="e">
        <f>AND(Versiones!#REF!,"AAAAAGffu3c=")</f>
        <v>#REF!</v>
      </c>
      <c r="DQ22" s="123" t="e">
        <f>AND(Versiones!#REF!,"AAAAAGffu3g=")</f>
        <v>#REF!</v>
      </c>
      <c r="DR22" s="123" t="e">
        <f>AND(Versiones!#REF!,"AAAAAGffu3k=")</f>
        <v>#REF!</v>
      </c>
      <c r="DS22" s="123" t="e">
        <f>AND(Versiones!#REF!,"AAAAAGffu3o=")</f>
        <v>#REF!</v>
      </c>
      <c r="DT22" s="123" t="e">
        <f>AND(Versiones!#REF!,"AAAAAGffu3s=")</f>
        <v>#REF!</v>
      </c>
      <c r="DU22" s="123" t="e">
        <f>AND(Versiones!#REF!,"AAAAAGffu3w=")</f>
        <v>#REF!</v>
      </c>
      <c r="DV22" s="123" t="e">
        <f>AND(Versiones!#REF!,"AAAAAGffu30=")</f>
        <v>#REF!</v>
      </c>
      <c r="DW22" s="123" t="e">
        <f>AND(Versiones!#REF!,"AAAAAGffu34=")</f>
        <v>#REF!</v>
      </c>
      <c r="DX22" s="123" t="e">
        <f>AND(Versiones!#REF!,"AAAAAGffu38=")</f>
        <v>#REF!</v>
      </c>
      <c r="DY22" s="123" t="e">
        <f>AND(Versiones!#REF!,"AAAAAGffu4A=")</f>
        <v>#REF!</v>
      </c>
      <c r="DZ22" s="123" t="e">
        <f>AND(Versiones!#REF!,"AAAAAGffu4E=")</f>
        <v>#REF!</v>
      </c>
      <c r="EA22" s="123" t="e">
        <f>AND(Versiones!#REF!,"AAAAAGffu4I=")</f>
        <v>#REF!</v>
      </c>
      <c r="EB22" s="123" t="e">
        <f>AND(Versiones!#REF!,"AAAAAGffu4M=")</f>
        <v>#REF!</v>
      </c>
      <c r="EC22" s="123" t="e">
        <f>AND(Versiones!#REF!,"AAAAAGffu4Q=")</f>
        <v>#REF!</v>
      </c>
      <c r="ED22" s="123" t="e">
        <f>AND(Versiones!#REF!,"AAAAAGffu4U=")</f>
        <v>#REF!</v>
      </c>
      <c r="EE22" s="123" t="e">
        <f>AND(Versiones!#REF!,"AAAAAGffu4Y=")</f>
        <v>#REF!</v>
      </c>
      <c r="EF22" s="123" t="e">
        <f>AND(Versiones!#REF!,"AAAAAGffu4c=")</f>
        <v>#REF!</v>
      </c>
      <c r="EG22" s="123" t="e">
        <f>AND(Versiones!#REF!,"AAAAAGffu4g=")</f>
        <v>#REF!</v>
      </c>
      <c r="EH22" s="123" t="e">
        <f>AND(Versiones!#REF!,"AAAAAGffu4k=")</f>
        <v>#REF!</v>
      </c>
      <c r="EI22" s="123" t="e">
        <f>AND(Versiones!#REF!,"AAAAAGffu4o=")</f>
        <v>#REF!</v>
      </c>
      <c r="EJ22" s="123" t="e">
        <f>AND(Versiones!#REF!,"AAAAAGffu4s=")</f>
        <v>#REF!</v>
      </c>
      <c r="EK22" s="123" t="e">
        <f>AND(Versiones!#REF!,"AAAAAGffu4w=")</f>
        <v>#REF!</v>
      </c>
      <c r="EL22" s="123" t="e">
        <f>AND(Versiones!#REF!,"AAAAAGffu40=")</f>
        <v>#REF!</v>
      </c>
      <c r="EM22" s="123" t="e">
        <f>AND(Versiones!#REF!,"AAAAAGffu44=")</f>
        <v>#REF!</v>
      </c>
      <c r="EN22" s="123" t="e">
        <f>AND(Versiones!#REF!,"AAAAAGffu48=")</f>
        <v>#REF!</v>
      </c>
      <c r="EO22" s="123" t="e">
        <f>AND(Versiones!#REF!,"AAAAAGffu5A=")</f>
        <v>#REF!</v>
      </c>
      <c r="EP22" s="123" t="e">
        <f>AND(Versiones!#REF!,"AAAAAGffu5E=")</f>
        <v>#REF!</v>
      </c>
      <c r="EQ22" s="123" t="e">
        <f>AND(Versiones!#REF!,"AAAAAGffu5I=")</f>
        <v>#REF!</v>
      </c>
      <c r="ER22" s="123" t="e">
        <f>AND(Versiones!#REF!,"AAAAAGffu5M=")</f>
        <v>#REF!</v>
      </c>
      <c r="ES22" s="123" t="e">
        <f>AND(Versiones!#REF!,"AAAAAGffu5Q=")</f>
        <v>#REF!</v>
      </c>
      <c r="ET22" s="123" t="e">
        <f>AND(Versiones!#REF!,"AAAAAGffu5U=")</f>
        <v>#REF!</v>
      </c>
      <c r="EU22" s="123" t="e">
        <f>AND(Versiones!#REF!,"AAAAAGffu5Y=")</f>
        <v>#REF!</v>
      </c>
      <c r="EV22" s="123" t="e">
        <f>AND(Versiones!#REF!,"AAAAAGffu5c=")</f>
        <v>#REF!</v>
      </c>
      <c r="EW22" s="123" t="e">
        <f>AND(Versiones!#REF!,"AAAAAGffu5g=")</f>
        <v>#REF!</v>
      </c>
      <c r="EX22" s="123" t="e">
        <f>AND(Versiones!#REF!,"AAAAAGffu5k=")</f>
        <v>#REF!</v>
      </c>
      <c r="EY22" s="123" t="e">
        <f>AND(Versiones!#REF!,"AAAAAGffu5o=")</f>
        <v>#REF!</v>
      </c>
      <c r="EZ22" s="123" t="e">
        <f>AND(Versiones!#REF!,"AAAAAGffu5s=")</f>
        <v>#REF!</v>
      </c>
      <c r="FA22" s="123" t="e">
        <f>AND(Versiones!#REF!,"AAAAAGffu5w=")</f>
        <v>#REF!</v>
      </c>
      <c r="FB22" s="123" t="e">
        <f>AND(Versiones!#REF!,"AAAAAGffu50=")</f>
        <v>#REF!</v>
      </c>
      <c r="FC22" s="123" t="e">
        <f>AND(Versiones!#REF!,"AAAAAGffu54=")</f>
        <v>#REF!</v>
      </c>
      <c r="FD22" s="123" t="e">
        <f>AND(Versiones!#REF!,"AAAAAGffu58=")</f>
        <v>#REF!</v>
      </c>
      <c r="FE22" s="123" t="e">
        <f>AND(Versiones!#REF!,"AAAAAGffu6A=")</f>
        <v>#REF!</v>
      </c>
      <c r="FF22" s="123" t="e">
        <f>AND(Versiones!#REF!,"AAAAAGffu6E=")</f>
        <v>#REF!</v>
      </c>
      <c r="FG22" s="123" t="e">
        <f>AND(Versiones!#REF!,"AAAAAGffu6I=")</f>
        <v>#REF!</v>
      </c>
      <c r="FH22" s="123" t="e">
        <f>AND(Versiones!#REF!,"AAAAAGffu6M=")</f>
        <v>#REF!</v>
      </c>
      <c r="FI22" s="123" t="e">
        <f>AND(Versiones!#REF!,"AAAAAGffu6Q=")</f>
        <v>#REF!</v>
      </c>
      <c r="FJ22" s="123" t="e">
        <f>AND(Versiones!#REF!,"AAAAAGffu6U=")</f>
        <v>#REF!</v>
      </c>
      <c r="FK22" s="123" t="e">
        <f>AND(Versiones!#REF!,"AAAAAGffu6Y=")</f>
        <v>#REF!</v>
      </c>
      <c r="FL22" s="123" t="e">
        <f>AND(Versiones!#REF!,"AAAAAGffu6c=")</f>
        <v>#REF!</v>
      </c>
      <c r="FM22" s="123" t="e">
        <f>AND(Versiones!#REF!,"AAAAAGffu6g=")</f>
        <v>#REF!</v>
      </c>
      <c r="FN22" s="123" t="e">
        <f>AND(Versiones!#REF!,"AAAAAGffu6k=")</f>
        <v>#REF!</v>
      </c>
      <c r="FO22" s="123" t="e">
        <f>AND(Versiones!#REF!,"AAAAAGffu6o=")</f>
        <v>#REF!</v>
      </c>
      <c r="FP22" s="123" t="e">
        <f>AND(Versiones!#REF!,"AAAAAGffu6s=")</f>
        <v>#REF!</v>
      </c>
      <c r="FQ22" s="123" t="e">
        <f>AND(Versiones!#REF!,"AAAAAGffu6w=")</f>
        <v>#REF!</v>
      </c>
      <c r="FR22" s="123" t="e">
        <f>AND(Versiones!#REF!,"AAAAAGffu60=")</f>
        <v>#REF!</v>
      </c>
      <c r="FS22" s="123" t="e">
        <f>AND(Versiones!#REF!,"AAAAAGffu64=")</f>
        <v>#REF!</v>
      </c>
      <c r="FT22" s="123" t="e">
        <f>AND(Versiones!#REF!,"AAAAAGffu68=")</f>
        <v>#REF!</v>
      </c>
      <c r="FU22" s="123" t="e">
        <f>AND(Versiones!#REF!,"AAAAAGffu7A=")</f>
        <v>#REF!</v>
      </c>
      <c r="FV22" s="123" t="e">
        <f>AND(Versiones!#REF!,"AAAAAGffu7E=")</f>
        <v>#REF!</v>
      </c>
      <c r="FW22" s="123" t="e">
        <f>AND(Versiones!#REF!,"AAAAAGffu7I=")</f>
        <v>#REF!</v>
      </c>
      <c r="FX22" s="123" t="e">
        <f>AND(Versiones!#REF!,"AAAAAGffu7M=")</f>
        <v>#REF!</v>
      </c>
      <c r="FY22" s="123" t="e">
        <f>AND(Versiones!#REF!,"AAAAAGffu7Q=")</f>
        <v>#REF!</v>
      </c>
      <c r="FZ22" s="123" t="e">
        <f>AND(Versiones!#REF!,"AAAAAGffu7U=")</f>
        <v>#REF!</v>
      </c>
      <c r="GA22" s="123" t="e">
        <f>AND(Versiones!#REF!,"AAAAAGffu7Y=")</f>
        <v>#REF!</v>
      </c>
      <c r="GB22" s="123" t="e">
        <f>AND(Versiones!#REF!,"AAAAAGffu7c=")</f>
        <v>#REF!</v>
      </c>
      <c r="GC22" s="123" t="e">
        <f>AND(Versiones!#REF!,"AAAAAGffu7g=")</f>
        <v>#REF!</v>
      </c>
      <c r="GD22" s="123" t="e">
        <f>AND(Versiones!#REF!,"AAAAAGffu7k=")</f>
        <v>#REF!</v>
      </c>
      <c r="GE22" s="123" t="e">
        <f>AND(Versiones!#REF!,"AAAAAGffu7o=")</f>
        <v>#REF!</v>
      </c>
      <c r="GF22" s="123" t="e">
        <f>AND(Versiones!#REF!,"AAAAAGffu7s=")</f>
        <v>#REF!</v>
      </c>
      <c r="GG22" s="123" t="e">
        <f>AND(Versiones!#REF!,"AAAAAGffu7w=")</f>
        <v>#REF!</v>
      </c>
      <c r="GH22" s="123" t="e">
        <f>AND(Versiones!#REF!,"AAAAAGffu70=")</f>
        <v>#REF!</v>
      </c>
      <c r="GI22" s="123" t="e">
        <f>AND(Versiones!#REF!,"AAAAAGffu74=")</f>
        <v>#REF!</v>
      </c>
      <c r="GJ22" s="123" t="e">
        <f>AND(Versiones!#REF!,"AAAAAGffu78=")</f>
        <v>#REF!</v>
      </c>
      <c r="GK22" s="123" t="e">
        <f>AND(Versiones!#REF!,"AAAAAGffu8A=")</f>
        <v>#REF!</v>
      </c>
      <c r="GL22" s="123" t="e">
        <f>AND(Versiones!#REF!,"AAAAAGffu8E=")</f>
        <v>#REF!</v>
      </c>
      <c r="GM22" s="123" t="e">
        <f>AND(Versiones!#REF!,"AAAAAGffu8I=")</f>
        <v>#REF!</v>
      </c>
      <c r="GN22" s="123" t="e">
        <f>AND(Versiones!#REF!,"AAAAAGffu8M=")</f>
        <v>#REF!</v>
      </c>
      <c r="GO22" s="123" t="e">
        <f>AND(Versiones!#REF!,"AAAAAGffu8Q=")</f>
        <v>#REF!</v>
      </c>
      <c r="GP22" s="123" t="e">
        <f>AND(Versiones!#REF!,"AAAAAGffu8U=")</f>
        <v>#REF!</v>
      </c>
      <c r="GQ22" s="123" t="e">
        <f>AND(Versiones!#REF!,"AAAAAGffu8Y=")</f>
        <v>#REF!</v>
      </c>
      <c r="GR22" s="123" t="e">
        <f>AND(Versiones!#REF!,"AAAAAGffu8c=")</f>
        <v>#REF!</v>
      </c>
      <c r="GS22" s="123" t="e">
        <f>AND(Versiones!#REF!,"AAAAAGffu8g=")</f>
        <v>#REF!</v>
      </c>
      <c r="GT22" s="123" t="e">
        <f>AND(Versiones!#REF!,"AAAAAGffu8k=")</f>
        <v>#REF!</v>
      </c>
      <c r="GU22" s="123" t="e">
        <f>AND(Versiones!#REF!,"AAAAAGffu8o=")</f>
        <v>#REF!</v>
      </c>
      <c r="GV22" s="123" t="e">
        <f>AND(Versiones!#REF!,"AAAAAGffu8s=")</f>
        <v>#REF!</v>
      </c>
      <c r="GW22" s="123" t="e">
        <f>AND(Versiones!#REF!,"AAAAAGffu8w=")</f>
        <v>#REF!</v>
      </c>
      <c r="GX22" s="123" t="e">
        <f>AND(Versiones!#REF!,"AAAAAGffu80=")</f>
        <v>#REF!</v>
      </c>
      <c r="GY22" s="123" t="e">
        <f>AND(Versiones!#REF!,"AAAAAGffu84=")</f>
        <v>#REF!</v>
      </c>
      <c r="GZ22" s="123" t="e">
        <f>AND(Versiones!#REF!,"AAAAAGffu88=")</f>
        <v>#REF!</v>
      </c>
      <c r="HA22" s="123" t="e">
        <f>AND(Versiones!#REF!,"AAAAAGffu9A=")</f>
        <v>#REF!</v>
      </c>
      <c r="HB22" s="123" t="e">
        <f>AND(Versiones!#REF!,"AAAAAGffu9E=")</f>
        <v>#REF!</v>
      </c>
      <c r="HC22" s="123" t="e">
        <f>AND(Versiones!#REF!,"AAAAAGffu9I=")</f>
        <v>#REF!</v>
      </c>
      <c r="HD22" s="123" t="e">
        <f>AND(Versiones!#REF!,"AAAAAGffu9M=")</f>
        <v>#REF!</v>
      </c>
      <c r="HE22" s="123" t="e">
        <f>AND(Versiones!#REF!,"AAAAAGffu9Q=")</f>
        <v>#REF!</v>
      </c>
      <c r="HF22" s="123" t="e">
        <f>AND(Versiones!#REF!,"AAAAAGffu9U=")</f>
        <v>#REF!</v>
      </c>
      <c r="HG22" s="123" t="e">
        <f>AND(Versiones!#REF!,"AAAAAGffu9Y=")</f>
        <v>#REF!</v>
      </c>
      <c r="HH22" s="123" t="e">
        <f>AND(Versiones!#REF!,"AAAAAGffu9c=")</f>
        <v>#REF!</v>
      </c>
      <c r="HI22" s="123" t="e">
        <f>AND(Versiones!#REF!,"AAAAAGffu9g=")</f>
        <v>#REF!</v>
      </c>
      <c r="HJ22" s="123" t="e">
        <f>AND(Versiones!#REF!,"AAAAAGffu9k=")</f>
        <v>#REF!</v>
      </c>
      <c r="HK22" s="123" t="e">
        <f>AND(Versiones!#REF!,"AAAAAGffu9o=")</f>
        <v>#REF!</v>
      </c>
      <c r="HL22" s="123" t="e">
        <f>AND(Versiones!#REF!,"AAAAAGffu9s=")</f>
        <v>#REF!</v>
      </c>
      <c r="HM22" s="123" t="e">
        <f>AND(Versiones!#REF!,"AAAAAGffu9w=")</f>
        <v>#REF!</v>
      </c>
      <c r="HN22" s="123" t="e">
        <f>AND(Versiones!#REF!,"AAAAAGffu90=")</f>
        <v>#REF!</v>
      </c>
      <c r="HO22" s="123" t="e">
        <f>AND(Versiones!#REF!,"AAAAAGffu94=")</f>
        <v>#REF!</v>
      </c>
      <c r="HP22" s="123" t="e">
        <f>AND(Versiones!#REF!,"AAAAAGffu98=")</f>
        <v>#REF!</v>
      </c>
      <c r="HQ22" s="123" t="e">
        <f>AND(Versiones!#REF!,"AAAAAGffu+A=")</f>
        <v>#REF!</v>
      </c>
      <c r="HR22" s="123" t="e">
        <f>AND(Versiones!#REF!,"AAAAAGffu+E=")</f>
        <v>#REF!</v>
      </c>
      <c r="HS22" s="123" t="e">
        <f>AND(Versiones!#REF!,"AAAAAGffu+I=")</f>
        <v>#REF!</v>
      </c>
      <c r="HT22" s="123" t="e">
        <f>AND(Versiones!#REF!,"AAAAAGffu+M=")</f>
        <v>#REF!</v>
      </c>
      <c r="HU22" s="123" t="e">
        <f>AND(Versiones!#REF!,"AAAAAGffu+Q=")</f>
        <v>#REF!</v>
      </c>
      <c r="HV22" s="123" t="e">
        <f>AND(Versiones!#REF!,"AAAAAGffu+U=")</f>
        <v>#REF!</v>
      </c>
      <c r="HW22" s="123" t="e">
        <f>AND(Versiones!#REF!,"AAAAAGffu+Y=")</f>
        <v>#REF!</v>
      </c>
      <c r="HX22" s="123" t="e">
        <f>AND(Versiones!#REF!,"AAAAAGffu+c=")</f>
        <v>#REF!</v>
      </c>
      <c r="HY22" s="123" t="e">
        <f>AND(Versiones!#REF!,"AAAAAGffu+g=")</f>
        <v>#REF!</v>
      </c>
      <c r="HZ22" s="123" t="e">
        <f>AND(Versiones!#REF!,"AAAAAGffu+k=")</f>
        <v>#REF!</v>
      </c>
      <c r="IA22" s="123" t="e">
        <f>AND(Versiones!#REF!,"AAAAAGffu+o=")</f>
        <v>#REF!</v>
      </c>
      <c r="IB22" s="123" t="e">
        <f>AND(Versiones!#REF!,"AAAAAGffu+s=")</f>
        <v>#REF!</v>
      </c>
      <c r="IC22" s="123" t="e">
        <f ca="1">IF(_xlfn.SINGLE(Versiones!#REF!),"AAAAAGffu+w=",0)</f>
        <v>#NAME?</v>
      </c>
      <c r="ID22" s="123" t="e">
        <f ca="1">IF(_xlfn.SINGLE(Versiones!#REF!),"AAAAAGffu+0=",0)</f>
        <v>#NAME?</v>
      </c>
      <c r="IE22" s="123" t="e">
        <f ca="1">IF(_xlfn.SINGLE(Versiones!#REF!),"AAAAAGffu+4=",0)</f>
        <v>#NAME?</v>
      </c>
      <c r="IF22" s="123">
        <f>IF(Versiones!A:A,"AAAAAGffu+8=",0)</f>
        <v>0</v>
      </c>
      <c r="IG22" s="123">
        <f>IF(Versiones!B:B,"AAAAAGffu/A=",0)</f>
        <v>0</v>
      </c>
      <c r="IH22" s="123">
        <f>IF(Versiones!C:C,"AAAAAGffu/E=",0)</f>
        <v>0</v>
      </c>
      <c r="II22" s="123">
        <f>IF(Versiones!D:D,"AAAAAGffu/I=",0)</f>
        <v>0</v>
      </c>
      <c r="IJ22" s="123">
        <f>IF(Versiones!E:E,"AAAAAGffu/M=",0)</f>
        <v>0</v>
      </c>
      <c r="IK22" s="123">
        <f>IF(Versiones!F:F,"AAAAAGffu/Q=",0)</f>
        <v>0</v>
      </c>
      <c r="IL22" s="123" t="e">
        <f ca="1">IF(_xlfn.SINGLE(Versiones!#REF!),"AAAAAGffu/U=",0)</f>
        <v>#NAME?</v>
      </c>
      <c r="IM22" s="123">
        <f>IF(Versiones!G:G,"AAAAAGffu/Y=",0)</f>
        <v>0</v>
      </c>
      <c r="IN22" s="123">
        <f>IF(Versiones!H:H,"AAAAAGffu/c=",0)</f>
        <v>0</v>
      </c>
      <c r="IO22" s="123">
        <f>IF(Versiones!I:I,"AAAAAGffu/g=",0)</f>
        <v>0</v>
      </c>
      <c r="IP22" s="123">
        <f>IF(Versiones!J:J,"AAAAAGffu/k=",0)</f>
        <v>0</v>
      </c>
      <c r="IQ22" s="123">
        <f>IF(Versiones!K:K,"AAAAAGffu/o=",0)</f>
        <v>0</v>
      </c>
      <c r="IR22" s="123">
        <f>IF(Versiones!L:L,"AAAAAGffu/s=",0)</f>
        <v>0</v>
      </c>
      <c r="IS22" s="123">
        <f>IF(Versiones!M:M,"AAAAAGffu/w=",0)</f>
        <v>0</v>
      </c>
      <c r="IT22" s="123">
        <f>IF(Versiones!N:N,"AAAAAGffu/0=",0)</f>
        <v>0</v>
      </c>
      <c r="IU22" s="123">
        <f>IF(Versiones!O:O,"AAAAAGffu/4=",0)</f>
        <v>0</v>
      </c>
      <c r="IV22" s="123">
        <f>IF(Versiones!P:P,"AAAAAGffu/8=",0)</f>
        <v>0</v>
      </c>
    </row>
    <row r="23" spans="1:256" ht="15.75" customHeight="1">
      <c r="A23" s="123">
        <f>IF(Versiones!Q:Q,"AAAAACc9cQA=",0)</f>
        <v>0</v>
      </c>
      <c r="B23" s="123">
        <f>IF(Versiones!R:R,"AAAAACc9cQE=",0)</f>
        <v>0</v>
      </c>
      <c r="C23" s="123">
        <f>IF(Versiones!S:S,"AAAAACc9cQI=",0)</f>
        <v>0</v>
      </c>
      <c r="D23" s="123">
        <f>IF(Versiones!T:T,"AAAAACc9cQM=",0)</f>
        <v>0</v>
      </c>
      <c r="E23" s="123">
        <f>IF(Versiones!U:U,"AAAAACc9cQQ=",0)</f>
        <v>0</v>
      </c>
      <c r="F23" s="123">
        <f>IF(Versiones!V:V,"AAAAACc9cQU=",0)</f>
        <v>0</v>
      </c>
      <c r="G23" s="123">
        <f>IF(Versiones!W:W,"AAAAACc9cQY=",0)</f>
        <v>0</v>
      </c>
      <c r="H23" s="123">
        <f>IF(Versiones!X:X,"AAAAACc9cQc=",0)</f>
        <v>0</v>
      </c>
      <c r="I23" s="123">
        <f>IF(Versiones!Y:Y,"AAAAACc9cQg=",0)</f>
        <v>0</v>
      </c>
      <c r="J23" s="123">
        <f>IF(Versiones!Z:Z,"AAAAACc9cQk=",0)</f>
        <v>0</v>
      </c>
      <c r="K23" s="123">
        <f>IF(Versiones!AA:AA,"AAAAACc9cQo=",0)</f>
        <v>0</v>
      </c>
      <c r="L23" s="123">
        <f>IF(Versiones!AB:AB,"AAAAACc9cQs=",0)</f>
        <v>0</v>
      </c>
      <c r="M23" s="123">
        <f>IF(Versiones!AC:AC,"AAAAACc9cQw=",0)</f>
        <v>0</v>
      </c>
      <c r="N23" s="123">
        <f>IF(Versiones!AD:AD,"AAAAACc9cQ0=",0)</f>
        <v>0</v>
      </c>
      <c r="O23" s="123">
        <f>IF(Versiones!AE:AE,"AAAAACc9cQ4=",0)</f>
        <v>0</v>
      </c>
      <c r="P23" s="123">
        <f>IF(Versiones!AF:AF,"AAAAACc9cQ8=",0)</f>
        <v>0</v>
      </c>
      <c r="Q23" s="123">
        <f>IF(Versiones!AG:AG,"AAAAACc9cRA=",0)</f>
        <v>0</v>
      </c>
      <c r="R23" s="123">
        <f>IF(Versiones!AH:AH,"AAAAACc9cRE=",0)</f>
        <v>0</v>
      </c>
      <c r="S23" s="123">
        <f>IF(Versiones!AI:AI,"AAAAACc9cRI=",0)</f>
        <v>0</v>
      </c>
      <c r="T23" s="123">
        <f>IF(Versiones!AJ:AJ,"AAAAACc9cRM=",0)</f>
        <v>0</v>
      </c>
      <c r="U23" s="123">
        <f>IF(Versiones!AK:AK,"AAAAACc9cRQ=",0)</f>
        <v>0</v>
      </c>
      <c r="V23" s="123">
        <f>IF(Versiones!AL:AL,"AAAAACc9cRU=",0)</f>
        <v>0</v>
      </c>
      <c r="W23" s="123">
        <f>IF(Versiones!AM:AM,"AAAAACc9cRY=",0)</f>
        <v>0</v>
      </c>
      <c r="X23" s="123">
        <f>IF(Versiones!AN:AN,"AAAAACc9cRc=",0)</f>
        <v>0</v>
      </c>
      <c r="Y23" s="123">
        <f>IF(Versiones!AO:AO,"AAAAACc9cRg=",0)</f>
        <v>0</v>
      </c>
      <c r="Z23" s="123">
        <f>IF(Versiones!AP:AP,"AAAAACc9cRk=",0)</f>
        <v>0</v>
      </c>
      <c r="AA23" s="123">
        <f>IF(Versiones!AQ:AQ,"AAAAACc9cRo=",0)</f>
        <v>0</v>
      </c>
      <c r="AB23" s="123">
        <f>IF(Versiones!AR:AR,"AAAAACc9cRs=",0)</f>
        <v>0</v>
      </c>
      <c r="AC23" s="123">
        <f>IF(Versiones!AS:AS,"AAAAACc9cRw=",0)</f>
        <v>0</v>
      </c>
      <c r="AD23" s="123">
        <f>IF(Versiones!AT:AT,"AAAAACc9cR0=",0)</f>
        <v>0</v>
      </c>
      <c r="AE23" s="123">
        <f>IF(Versiones!AU:AU,"AAAAACc9cR4=",0)</f>
        <v>0</v>
      </c>
      <c r="AF23" s="123">
        <f>IF(Versiones!AV:AV,"AAAAACc9cR8=",0)</f>
        <v>0</v>
      </c>
      <c r="AG23" s="123">
        <f>IF(Versiones!AW:AW,"AAAAACc9cSA=",0)</f>
        <v>0</v>
      </c>
      <c r="AH23" s="123">
        <f>IF(Versiones!AX:AX,"AAAAACc9cSE=",0)</f>
        <v>0</v>
      </c>
      <c r="AI23" s="123">
        <f>IF(Versiones!AY:AY,"AAAAACc9cSI=",0)</f>
        <v>0</v>
      </c>
      <c r="AJ23" s="123">
        <f>IF(Versiones!AZ:AZ,"AAAAACc9cSM=",0)</f>
        <v>0</v>
      </c>
      <c r="AK23" s="123">
        <f>IF(Versiones!BA:BA,"AAAAACc9cSQ=",0)</f>
        <v>0</v>
      </c>
      <c r="AL23" s="123">
        <f>IF(Versiones!BB:BB,"AAAAACc9cSU=",0)</f>
        <v>0</v>
      </c>
      <c r="AM23" s="123">
        <f>IF(Versiones!BC:BC,"AAAAACc9cSY=",0)</f>
        <v>0</v>
      </c>
      <c r="AN23" s="123">
        <f>IF(Versiones!BD:BD,"AAAAACc9cSc=",0)</f>
        <v>0</v>
      </c>
      <c r="AO23" s="123">
        <f>IF(Versiones!BE:BE,"AAAAACc9cSg=",0)</f>
        <v>0</v>
      </c>
      <c r="AP23" s="123">
        <f>IF(Versiones!BF:BF,"AAAAACc9cSk=",0)</f>
        <v>0</v>
      </c>
      <c r="AQ23" s="123">
        <f>IF(Versiones!BG:BG,"AAAAACc9cSo=",0)</f>
        <v>0</v>
      </c>
      <c r="AR23" s="123">
        <f>IF(Versiones!BH:BH,"AAAAACc9cSs=",0)</f>
        <v>0</v>
      </c>
      <c r="AS23" s="123">
        <f>IF(Versiones!BI:BI,"AAAAACc9cSw=",0)</f>
        <v>0</v>
      </c>
      <c r="AT23" s="123">
        <f>IF(Versiones!BJ:BJ,"AAAAACc9cS0=",0)</f>
        <v>0</v>
      </c>
      <c r="AU23" s="123">
        <f>IF(Versiones!BK:BK,"AAAAACc9cS4=",0)</f>
        <v>0</v>
      </c>
      <c r="AV23" s="123">
        <f>IF(Versiones!BL:BL,"AAAAACc9cS8=",0)</f>
        <v>0</v>
      </c>
      <c r="AW23" s="123">
        <f>IF(Versiones!BM:BM,"AAAAACc9cTA=",0)</f>
        <v>0</v>
      </c>
      <c r="AX23" s="123">
        <f>IF(Versiones!BN:BN,"AAAAACc9cTE=",0)</f>
        <v>0</v>
      </c>
      <c r="AY23" s="123">
        <f>IF(Versiones!BO:BO,"AAAAACc9cTI=",0)</f>
        <v>0</v>
      </c>
      <c r="AZ23" s="123">
        <f>IF(Versiones!BP:BP,"AAAAACc9cTM=",0)</f>
        <v>0</v>
      </c>
      <c r="BA23" s="123">
        <f>IF(Versiones!BQ:BQ,"AAAAACc9cTQ=",0)</f>
        <v>0</v>
      </c>
      <c r="BB23" s="123">
        <f>IF(Versiones!BR:BR,"AAAAACc9cTU=",0)</f>
        <v>0</v>
      </c>
      <c r="BC23" s="123">
        <f>IF(Versiones!BS:BS,"AAAAACc9cTY=",0)</f>
        <v>0</v>
      </c>
      <c r="BD23" s="123">
        <f>IF(Versiones!BT:BT,"AAAAACc9cTc=",0)</f>
        <v>0</v>
      </c>
      <c r="BE23" s="123">
        <f>IF(Versiones!BU:BU,"AAAAACc9cTg=",0)</f>
        <v>0</v>
      </c>
      <c r="BF23" s="123">
        <f>IF(Versiones!BV:BV,"AAAAACc9cTk=",0)</f>
        <v>0</v>
      </c>
      <c r="BG23" s="123">
        <f>IF(Versiones!BW:BW,"AAAAACc9cTo=",0)</f>
        <v>0</v>
      </c>
      <c r="BH23" s="123">
        <f>IF(Versiones!BX:BX,"AAAAACc9cTs=",0)</f>
        <v>0</v>
      </c>
      <c r="BI23" s="123">
        <f>IF(Versiones!BY:BY,"AAAAACc9cTw=",0)</f>
        <v>0</v>
      </c>
      <c r="BJ23" s="123">
        <f>IF(Versiones!BZ:BZ,"AAAAACc9cT0=",0)</f>
        <v>0</v>
      </c>
      <c r="BK23" s="123">
        <f>IF(Versiones!CA:CA,"AAAAACc9cT4=",0)</f>
        <v>0</v>
      </c>
      <c r="BL23" s="123">
        <f>IF(Versiones!CB:CB,"AAAAACc9cT8=",0)</f>
        <v>0</v>
      </c>
      <c r="BM23" s="123">
        <f>IF(Versiones!CC:CC,"AAAAACc9cUA=",0)</f>
        <v>0</v>
      </c>
      <c r="BN23" s="123">
        <f>IF(Versiones!CD:CD,"AAAAACc9cUE=",0)</f>
        <v>0</v>
      </c>
      <c r="BO23" s="123">
        <f>IF(Versiones!CE:CE,"AAAAACc9cUI=",0)</f>
        <v>0</v>
      </c>
      <c r="BP23" s="123">
        <f>IF(Versiones!CF:CF,"AAAAACc9cUM=",0)</f>
        <v>0</v>
      </c>
      <c r="BQ23" s="123">
        <f>IF(Versiones!CG:CG,"AAAAACc9cUQ=",0)</f>
        <v>0</v>
      </c>
      <c r="BR23" s="123">
        <f>IF(Versiones!CH:CH,"AAAAACc9cUU=",0)</f>
        <v>0</v>
      </c>
      <c r="BS23" s="123">
        <f>IF(Versiones!CI:CI,"AAAAACc9cUY=",0)</f>
        <v>0</v>
      </c>
      <c r="BT23" s="123">
        <f>IF(Versiones!CJ:CJ,"AAAAACc9cUc=",0)</f>
        <v>0</v>
      </c>
      <c r="BU23" s="123">
        <f>IF(Versiones!CK:CK,"AAAAACc9cUg=",0)</f>
        <v>0</v>
      </c>
      <c r="BV23" s="123">
        <f>IF(Versiones!CL:CL,"AAAAACc9cUk=",0)</f>
        <v>0</v>
      </c>
      <c r="BW23" s="123">
        <f>IF(Versiones!CM:CM,"AAAAACc9cUo=",0)</f>
        <v>0</v>
      </c>
      <c r="BX23" s="123">
        <f>IF(Versiones!CN:CN,"AAAAACc9cUs=",0)</f>
        <v>0</v>
      </c>
      <c r="BY23" s="123">
        <f>IF(Versiones!CO:CO,"AAAAACc9cUw=",0)</f>
        <v>0</v>
      </c>
      <c r="BZ23" s="123">
        <f>IF(Versiones!CP:CP,"AAAAACc9cU0=",0)</f>
        <v>0</v>
      </c>
      <c r="CA23" s="123">
        <f>IF(Versiones!CQ:CQ,"AAAAACc9cU4=",0)</f>
        <v>0</v>
      </c>
      <c r="CB23" s="123">
        <f>IF(Versiones!CR:CR,"AAAAACc9cU8=",0)</f>
        <v>0</v>
      </c>
      <c r="CC23" s="123">
        <f>IF(Versiones!CS:CS,"AAAAACc9cVA=",0)</f>
        <v>0</v>
      </c>
      <c r="CD23" s="123">
        <f>IF(Versiones!CT:CT,"AAAAACc9cVE=",0)</f>
        <v>0</v>
      </c>
      <c r="CE23" s="123">
        <f>IF(Versiones!CU:CU,"AAAAACc9cVI=",0)</f>
        <v>0</v>
      </c>
      <c r="CF23" s="123">
        <f>IF(Versiones!CV:CV,"AAAAACc9cVM=",0)</f>
        <v>0</v>
      </c>
      <c r="CG23" s="123">
        <f>IF(Versiones!CW:CW,"AAAAACc9cVQ=",0)</f>
        <v>0</v>
      </c>
      <c r="CH23" s="123">
        <f>IF(Versiones!CX:CX,"AAAAACc9cVU=",0)</f>
        <v>0</v>
      </c>
      <c r="CI23" s="123">
        <f>IF(Versiones!CY:CY,"AAAAACc9cVY=",0)</f>
        <v>0</v>
      </c>
      <c r="CJ23" s="123">
        <f>IF(Versiones!CZ:CZ,"AAAAACc9cVc=",0)</f>
        <v>0</v>
      </c>
      <c r="CK23" s="123">
        <f>IF(Versiones!DA:DA,"AAAAACc9cVg=",0)</f>
        <v>0</v>
      </c>
      <c r="CL23" s="123">
        <f>IF(Versiones!DB:DB,"AAAAACc9cVk=",0)</f>
        <v>0</v>
      </c>
      <c r="CM23" s="123">
        <f>IF(Versiones!DC:DC,"AAAAACc9cVo=",0)</f>
        <v>0</v>
      </c>
      <c r="CN23" s="123">
        <f>IF(Versiones!DD:DD,"AAAAACc9cVs=",0)</f>
        <v>0</v>
      </c>
      <c r="CO23" s="123">
        <f>IF(Versiones!DE:DE,"AAAAACc9cVw=",0)</f>
        <v>0</v>
      </c>
      <c r="CP23" s="123">
        <f>IF(Versiones!DF:DF,"AAAAACc9cV0=",0)</f>
        <v>0</v>
      </c>
      <c r="CQ23" s="123">
        <f>IF(Versiones!DG:DG,"AAAAACc9cV4=",0)</f>
        <v>0</v>
      </c>
      <c r="CR23" s="123">
        <f>IF(Versiones!DH:DH,"AAAAACc9cV8=",0)</f>
        <v>0</v>
      </c>
      <c r="CS23" s="123">
        <f>IF(Versiones!DI:DI,"AAAAACc9cWA=",0)</f>
        <v>0</v>
      </c>
      <c r="CT23" s="123">
        <f>IF(Versiones!DJ:DJ,"AAAAACc9cWE=",0)</f>
        <v>0</v>
      </c>
      <c r="CU23" s="123">
        <f>IF(Versiones!DK:DK,"AAAAACc9cWI=",0)</f>
        <v>0</v>
      </c>
      <c r="CV23" s="123">
        <f>IF(Versiones!DL:DL,"AAAAACc9cWM=",0)</f>
        <v>0</v>
      </c>
      <c r="CW23" s="123">
        <f>IF(Versiones!DM:DM,"AAAAACc9cWQ=",0)</f>
        <v>0</v>
      </c>
      <c r="CX23" s="123">
        <f>IF(Versiones!DN:DN,"AAAAACc9cWU=",0)</f>
        <v>0</v>
      </c>
      <c r="CY23" s="123">
        <f>IF(Versiones!DO:DO,"AAAAACc9cWY=",0)</f>
        <v>0</v>
      </c>
      <c r="CZ23" s="123">
        <f>IF(Versiones!DP:DP,"AAAAACc9cWc=",0)</f>
        <v>0</v>
      </c>
      <c r="DA23" s="123">
        <f>IF(Versiones!DQ:DQ,"AAAAACc9cWg=",0)</f>
        <v>0</v>
      </c>
      <c r="DB23" s="123">
        <f>IF(Versiones!DR:DR,"AAAAACc9cWk=",0)</f>
        <v>0</v>
      </c>
      <c r="DC23" s="123">
        <f>IF(Versiones!DS:DS,"AAAAACc9cWo=",0)</f>
        <v>0</v>
      </c>
      <c r="DD23" s="123">
        <f>IF(Versiones!DT:DT,"AAAAACc9cWs=",0)</f>
        <v>0</v>
      </c>
      <c r="DE23" s="123">
        <f>IF(Versiones!DU:DU,"AAAAACc9cWw=",0)</f>
        <v>0</v>
      </c>
      <c r="DF23" s="123">
        <f>IF(Versiones!DV:DV,"AAAAACc9cW0=",0)</f>
        <v>0</v>
      </c>
      <c r="DG23" s="123">
        <f>IF(Versiones!DW:DW,"AAAAACc9cW4=",0)</f>
        <v>0</v>
      </c>
      <c r="DH23" s="123">
        <f>IF(Versiones!DX:DX,"AAAAACc9cW8=",0)</f>
        <v>0</v>
      </c>
      <c r="DI23" s="123">
        <f>IF(Versiones!DY:DY,"AAAAACc9cXA=",0)</f>
        <v>0</v>
      </c>
      <c r="DJ23" s="123">
        <f>IF(Versiones!DZ:DZ,"AAAAACc9cXE=",0)</f>
        <v>0</v>
      </c>
      <c r="DK23" s="123">
        <f>IF(Versiones!EA:EA,"AAAAACc9cXI=",0)</f>
        <v>0</v>
      </c>
      <c r="DL23" s="123">
        <f>IF(Versiones!EB:EB,"AAAAACc9cXM=",0)</f>
        <v>0</v>
      </c>
      <c r="DM23" s="123">
        <f>IF(Versiones!EC:EC,"AAAAACc9cXQ=",0)</f>
        <v>0</v>
      </c>
      <c r="DN23" s="123">
        <f>IF(Versiones!ED:ED,"AAAAACc9cXU=",0)</f>
        <v>0</v>
      </c>
      <c r="DO23" s="123">
        <f>IF(Versiones!EE:EE,"AAAAACc9cXY=",0)</f>
        <v>0</v>
      </c>
      <c r="DP23" s="123">
        <f>IF(Versiones!EF:EF,"AAAAACc9cXc=",0)</f>
        <v>0</v>
      </c>
      <c r="DQ23" s="123">
        <f>IF(Versiones!EG:EG,"AAAAACc9cXg=",0)</f>
        <v>0</v>
      </c>
      <c r="DR23" s="123">
        <f>IF(Versiones!EH:EH,"AAAAACc9cXk=",0)</f>
        <v>0</v>
      </c>
      <c r="DS23" s="123">
        <f>IF(Versiones!EI:EI,"AAAAACc9cXo=",0)</f>
        <v>0</v>
      </c>
      <c r="DT23" s="123">
        <f>IF(Versiones!EJ:EJ,"AAAAACc9cXs=",0)</f>
        <v>0</v>
      </c>
      <c r="DU23" s="123">
        <f>IF(Versiones!EK:EK,"AAAAACc9cXw=",0)</f>
        <v>0</v>
      </c>
      <c r="DV23" s="123">
        <f>IF(Versiones!EL:EL,"AAAAACc9cX0=",0)</f>
        <v>0</v>
      </c>
      <c r="DW23" s="123">
        <f>IF(Versiones!EM:EM,"AAAAACc9cX4=",0)</f>
        <v>0</v>
      </c>
      <c r="DX23" s="123">
        <f>IF(Versiones!EN:EN,"AAAAACc9cX8=",0)</f>
        <v>0</v>
      </c>
      <c r="DY23" s="123">
        <f>IF(Versiones!EO:EO,"AAAAACc9cYA=",0)</f>
        <v>0</v>
      </c>
      <c r="DZ23" s="123">
        <f>IF(Versiones!EP:EP,"AAAAACc9cYE=",0)</f>
        <v>0</v>
      </c>
      <c r="EA23" s="123">
        <f>IF(Versiones!EQ:EQ,"AAAAACc9cYI=",0)</f>
        <v>0</v>
      </c>
      <c r="EB23" s="123">
        <f>IF(Versiones!ER:ER,"AAAAACc9cYM=",0)</f>
        <v>0</v>
      </c>
      <c r="EC23" s="123">
        <f>IF(Versiones!ES:ES,"AAAAACc9cYQ=",0)</f>
        <v>0</v>
      </c>
      <c r="ED23" s="123">
        <f>IF(Versiones!ET:ET,"AAAAACc9cYU=",0)</f>
        <v>0</v>
      </c>
      <c r="EE23" s="123">
        <f>IF(Versiones!EU:EU,"AAAAACc9cYY=",0)</f>
        <v>0</v>
      </c>
      <c r="EF23" s="123">
        <f>IF(Versiones!EV:EV,"AAAAACc9cYc=",0)</f>
        <v>0</v>
      </c>
      <c r="EG23" s="123">
        <f>IF(Versiones!EW:EW,"AAAAACc9cYg=",0)</f>
        <v>0</v>
      </c>
      <c r="EH23" s="123">
        <f>IF(Versiones!EX:EX,"AAAAACc9cYk=",0)</f>
        <v>0</v>
      </c>
      <c r="EI23" s="123">
        <f>IF(Versiones!EY:EY,"AAAAACc9cYo=",0)</f>
        <v>0</v>
      </c>
      <c r="EJ23" s="123">
        <f>IF(Versiones!EZ:EZ,"AAAAACc9cYs=",0)</f>
        <v>0</v>
      </c>
      <c r="EK23" s="123">
        <f>IF(Versiones!FA:FA,"AAAAACc9cYw=",0)</f>
        <v>0</v>
      </c>
      <c r="EL23" s="123">
        <f>IF(Versiones!FB:FB,"AAAAACc9cY0=",0)</f>
        <v>0</v>
      </c>
      <c r="EM23" s="123">
        <f>IF(Versiones!FC:FC,"AAAAACc9cY4=",0)</f>
        <v>0</v>
      </c>
      <c r="EN23" s="123">
        <f>IF(Versiones!FD:FD,"AAAAACc9cY8=",0)</f>
        <v>0</v>
      </c>
      <c r="EO23" s="123">
        <f>IF(Versiones!FE:FE,"AAAAACc9cZA=",0)</f>
        <v>0</v>
      </c>
      <c r="EP23" s="123">
        <f>IF(Versiones!FF:FF,"AAAAACc9cZE=",0)</f>
        <v>0</v>
      </c>
      <c r="EQ23" s="123">
        <f>IF(Versiones!FG:FG,"AAAAACc9cZI=",0)</f>
        <v>0</v>
      </c>
      <c r="ER23" s="123">
        <f>IF(Versiones!FH:FH,"AAAAACc9cZM=",0)</f>
        <v>0</v>
      </c>
      <c r="ES23" s="123">
        <f>IF(Versiones!FI:FI,"AAAAACc9cZQ=",0)</f>
        <v>0</v>
      </c>
      <c r="ET23" s="123">
        <f>IF(Versiones!FJ:FJ,"AAAAACc9cZU=",0)</f>
        <v>0</v>
      </c>
      <c r="EU23" s="123">
        <f>IF(Versiones!FK:FK,"AAAAACc9cZY=",0)</f>
        <v>0</v>
      </c>
      <c r="EV23" s="123">
        <f>IF(Versiones!FL:FL,"AAAAACc9cZc=",0)</f>
        <v>0</v>
      </c>
      <c r="EW23" s="123">
        <f>IF(Versiones!FM:FM,"AAAAACc9cZg=",0)</f>
        <v>0</v>
      </c>
      <c r="EX23" s="123">
        <f>IF(Versiones!FN:FN,"AAAAACc9cZk=",0)</f>
        <v>0</v>
      </c>
      <c r="EY23" s="123">
        <f>IF(Versiones!FO:FO,"AAAAACc9cZo=",0)</f>
        <v>0</v>
      </c>
      <c r="EZ23" s="123">
        <f>IF(Versiones!FP:FP,"AAAAACc9cZs=",0)</f>
        <v>0</v>
      </c>
      <c r="FA23" s="123">
        <f>IF(Versiones!FQ:FQ,"AAAAACc9cZw=",0)</f>
        <v>0</v>
      </c>
      <c r="FB23" s="123">
        <f>IF(Versiones!FR:FR,"AAAAACc9cZ0=",0)</f>
        <v>0</v>
      </c>
      <c r="FC23" s="123">
        <f>IF(Versiones!FS:FS,"AAAAACc9cZ4=",0)</f>
        <v>0</v>
      </c>
      <c r="FD23" s="123">
        <f>IF(Versiones!FT:FT,"AAAAACc9cZ8=",0)</f>
        <v>0</v>
      </c>
      <c r="FE23" s="123">
        <f>IF(Versiones!FU:FU,"AAAAACc9caA=",0)</f>
        <v>0</v>
      </c>
      <c r="FF23" s="123">
        <f>IF(Versiones!FV:FV,"AAAAACc9caE=",0)</f>
        <v>0</v>
      </c>
      <c r="FG23" s="123">
        <f>IF(Versiones!FW:FW,"AAAAACc9caI=",0)</f>
        <v>0</v>
      </c>
      <c r="FH23" s="123">
        <f>IF(Versiones!FX:FX,"AAAAACc9caM=",0)</f>
        <v>0</v>
      </c>
      <c r="FI23" s="123">
        <f>IF(Versiones!FY:FY,"AAAAACc9caQ=",0)</f>
        <v>0</v>
      </c>
      <c r="FJ23" s="123">
        <f>IF(Versiones!FZ:FZ,"AAAAACc9caU=",0)</f>
        <v>0</v>
      </c>
      <c r="FK23" s="123">
        <f>IF(Versiones!GA:GA,"AAAAACc9caY=",0)</f>
        <v>0</v>
      </c>
      <c r="FL23" s="123">
        <f>IF(Versiones!GB:GB,"AAAAACc9cac=",0)</f>
        <v>0</v>
      </c>
      <c r="FM23" s="123">
        <f>IF(Versiones!GC:GC,"AAAAACc9cag=",0)</f>
        <v>0</v>
      </c>
      <c r="FN23" s="123">
        <f>IF(Versiones!GD:GD,"AAAAACc9cak=",0)</f>
        <v>0</v>
      </c>
      <c r="FO23" s="123">
        <f>IF(Versiones!GE:GE,"AAAAACc9cao=",0)</f>
        <v>0</v>
      </c>
      <c r="FP23" s="123">
        <f>IF(Versiones!GF:GF,"AAAAACc9cas=",0)</f>
        <v>0</v>
      </c>
      <c r="FQ23" s="123">
        <f>IF(Versiones!GG:GG,"AAAAACc9caw=",0)</f>
        <v>0</v>
      </c>
      <c r="FR23" s="123">
        <f>IF(Versiones!GH:GH,"AAAAACc9ca0=",0)</f>
        <v>0</v>
      </c>
      <c r="FS23" s="123">
        <f>IF(Versiones!GI:GI,"AAAAACc9ca4=",0)</f>
        <v>0</v>
      </c>
      <c r="FT23" s="123">
        <f>IF(Versiones!GJ:GJ,"AAAAACc9ca8=",0)</f>
        <v>0</v>
      </c>
      <c r="FU23" s="123">
        <f>IF(Versiones!GK:GK,"AAAAACc9cbA=",0)</f>
        <v>0</v>
      </c>
      <c r="FV23" s="123">
        <f>IF(Versiones!GL:GL,"AAAAACc9cbE=",0)</f>
        <v>0</v>
      </c>
      <c r="FW23" s="123">
        <f>IF(Versiones!GM:GM,"AAAAACc9cbI=",0)</f>
        <v>0</v>
      </c>
      <c r="FX23" s="123">
        <f>IF(Versiones!GN:GN,"AAAAACc9cbM=",0)</f>
        <v>0</v>
      </c>
      <c r="FY23" s="123">
        <f>IF(Versiones!GO:GO,"AAAAACc9cbQ=",0)</f>
        <v>0</v>
      </c>
      <c r="FZ23" s="123">
        <f>IF(Versiones!GP:GP,"AAAAACc9cbU=",0)</f>
        <v>0</v>
      </c>
      <c r="GA23" s="123">
        <f>IF(Versiones!GQ:GQ,"AAAAACc9cbY=",0)</f>
        <v>0</v>
      </c>
      <c r="GB23" s="123">
        <f>IF(Versiones!GR:GR,"AAAAACc9cbc=",0)</f>
        <v>0</v>
      </c>
      <c r="GC23" s="123">
        <f>IF(Versiones!GS:GS,"AAAAACc9cbg=",0)</f>
        <v>0</v>
      </c>
      <c r="GD23" s="123">
        <f>IF(Versiones!GT:GT,"AAAAACc9cbk=",0)</f>
        <v>0</v>
      </c>
      <c r="GE23" s="123">
        <f>IF(Versiones!GU:GU,"AAAAACc9cbo=",0)</f>
        <v>0</v>
      </c>
      <c r="GF23" s="123">
        <f>IF(Versiones!GV:GV,"AAAAACc9cbs=",0)</f>
        <v>0</v>
      </c>
      <c r="GG23" s="123">
        <f>IF(Versiones!GW:GW,"AAAAACc9cbw=",0)</f>
        <v>0</v>
      </c>
      <c r="GH23" s="123">
        <f>IF(Versiones!GX:GX,"AAAAACc9cb0=",0)</f>
        <v>0</v>
      </c>
      <c r="GI23" s="123">
        <f>IF(Versiones!GY:GY,"AAAAACc9cb4=",0)</f>
        <v>0</v>
      </c>
      <c r="GJ23" s="123">
        <f>IF(Versiones!GZ:GZ,"AAAAACc9cb8=",0)</f>
        <v>0</v>
      </c>
      <c r="GK23" s="123">
        <f>IF(Versiones!HA:HA,"AAAAACc9ccA=",0)</f>
        <v>0</v>
      </c>
      <c r="GL23" s="123">
        <f>IF(Versiones!HB:HB,"AAAAACc9ccE=",0)</f>
        <v>0</v>
      </c>
      <c r="GM23" s="123">
        <f>IF(Versiones!HC:HC,"AAAAACc9ccI=",0)</f>
        <v>0</v>
      </c>
      <c r="GN23" s="123">
        <f>IF(Versiones!HD:HD,"AAAAACc9ccM=",0)</f>
        <v>0</v>
      </c>
      <c r="GO23" s="123">
        <f>IF(Versiones!HE:HE,"AAAAACc9ccQ=",0)</f>
        <v>0</v>
      </c>
      <c r="GP23" s="123">
        <f>IF(Versiones!HF:HF,"AAAAACc9ccU=",0)</f>
        <v>0</v>
      </c>
      <c r="GQ23" s="123">
        <f>IF(Versiones!HG:HG,"AAAAACc9ccY=",0)</f>
        <v>0</v>
      </c>
      <c r="GR23" s="123">
        <f>IF(Versiones!HH:HH,"AAAAACc9ccc=",0)</f>
        <v>0</v>
      </c>
      <c r="GS23" s="123">
        <f>IF(Versiones!HI:HI,"AAAAACc9ccg=",0)</f>
        <v>0</v>
      </c>
      <c r="GT23" s="124" t="s">
        <v>187</v>
      </c>
      <c r="GU23" s="123" t="s">
        <v>188</v>
      </c>
      <c r="GV23" s="124" t="s">
        <v>189</v>
      </c>
      <c r="GW23" s="124" t="s">
        <v>190</v>
      </c>
      <c r="GX23" s="124" t="s">
        <v>191</v>
      </c>
      <c r="GY23" s="124" t="s">
        <v>192</v>
      </c>
      <c r="GZ23" s="124" t="s">
        <v>193</v>
      </c>
      <c r="HA23" s="123" t="e">
        <f>IF("N",Datos!_xlnm.Print_Area,"AAAAACc9cdA=")</f>
        <v>#VALUE!</v>
      </c>
      <c r="HB23" s="123" t="e">
        <f>IF("N",Versiones!BuiltIn_AutoFilter___3,"AAAAACc9cdE=")</f>
        <v>#VALUE!</v>
      </c>
      <c r="HC23" s="123" t="e">
        <f>IF("N",Versiones!DOA,"AAAAACc9cdI=")</f>
        <v>#VALUE!</v>
      </c>
      <c r="HD23" s="123" t="e">
        <f>IF("N",DOA,"AAAAACc9cdM=")</f>
        <v>#VALUE!</v>
      </c>
    </row>
    <row r="24" spans="1:256" ht="15.75" customHeight="1">
      <c r="A24" s="123" t="e">
        <f>IF("N",Datos!_xlnm.Print_Area,"AAAAAHnvfgA=")</f>
        <v>#VALUE!</v>
      </c>
    </row>
    <row r="25" spans="1:256" ht="15.75" customHeight="1">
      <c r="A25" s="123" t="e">
        <f>IF("N",Datos!_xlnm.Print_Area,"AAAAAHOP/wA=")</f>
        <v>#VALUE!</v>
      </c>
    </row>
    <row r="26" spans="1:256" ht="15.75" customHeight="1"/>
    <row r="27" spans="1:256" ht="15.75" customHeight="1"/>
    <row r="28" spans="1:256" ht="15.75" customHeight="1"/>
    <row r="29" spans="1:256" ht="15.75" customHeight="1"/>
    <row r="30" spans="1:256" ht="15.75" customHeight="1"/>
    <row r="31" spans="1:256" ht="15.75" customHeight="1"/>
    <row r="32" spans="1:25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Informe</vt:lpstr>
      <vt:lpstr>Datos</vt:lpstr>
      <vt:lpstr>Patrones</vt:lpstr>
      <vt:lpstr>Clasificación</vt:lpstr>
      <vt:lpstr>Versiones</vt:lpstr>
      <vt:lpstr>DV-IDENTITY-0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 Manuel Rojas Vergaray</dc:creator>
  <cp:lastModifiedBy>Gian Manuel Rojas Vergaray</cp:lastModifiedBy>
  <dcterms:created xsi:type="dcterms:W3CDTF">2026-03-05T05:40:47Z</dcterms:created>
  <dcterms:modified xsi:type="dcterms:W3CDTF">2026-03-06T15:28:06Z</dcterms:modified>
</cp:coreProperties>
</file>